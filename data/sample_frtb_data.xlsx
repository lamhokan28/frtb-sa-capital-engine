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unichlam/Desktop/Python Projects/FRTB_SA/"/>
    </mc:Choice>
  </mc:AlternateContent>
  <xr:revisionPtr revIDLastSave="0" documentId="13_ncr:1_{1D63714D-6190-AF49-A9A6-68E112D0956C}" xr6:coauthVersionLast="47" xr6:coauthVersionMax="47" xr10:uidLastSave="{00000000-0000-0000-0000-000000000000}"/>
  <bookViews>
    <workbookView xWindow="14480" yWindow="-21100" windowWidth="19200" windowHeight="21100" activeTab="1" xr2:uid="{068DE870-C899-BA47-8A76-180F95E4058D}"/>
  </bookViews>
  <sheets>
    <sheet name="GIRR" sheetId="1" r:id="rId1"/>
    <sheet name="DRC" sheetId="7" r:id="rId2"/>
    <sheet name="CSR(non)" sheetId="2" r:id="rId3"/>
    <sheet name="CSR(non-ctp)" sheetId="4" r:id="rId4"/>
    <sheet name="Equity" sheetId="5" r:id="rId5"/>
    <sheet name="Commodity" sheetId="6" r:id="rId6"/>
    <sheet name="FX" sheetId="3" r:id="rId7"/>
  </sheets>
  <definedNames>
    <definedName name="_xlnm._FilterDatabase" localSheetId="0" hidden="1">GIRR!$A$1:$I$229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H10" i="7"/>
  <c r="H9" i="7"/>
  <c r="H8" i="7"/>
  <c r="H6" i="7"/>
  <c r="H5" i="7"/>
  <c r="H4" i="7"/>
  <c r="H3" i="7"/>
  <c r="H238" i="1"/>
  <c r="H237" i="1"/>
  <c r="H236" i="1"/>
  <c r="H235" i="1"/>
  <c r="H234" i="1"/>
  <c r="H233" i="1"/>
  <c r="H232" i="1"/>
  <c r="H231" i="1"/>
  <c r="H230" i="1"/>
  <c r="B229" i="1"/>
  <c r="H229" i="1" s="1"/>
  <c r="B228" i="1"/>
  <c r="H228" i="1" s="1"/>
  <c r="B227" i="1"/>
  <c r="H227" i="1" s="1"/>
  <c r="B226" i="1"/>
  <c r="H226" i="1" s="1"/>
  <c r="B225" i="1"/>
  <c r="H225" i="1" s="1"/>
  <c r="B224" i="1"/>
  <c r="H224" i="1" s="1"/>
  <c r="B223" i="1"/>
  <c r="H223" i="1" s="1"/>
  <c r="B222" i="1"/>
  <c r="H222" i="1" s="1"/>
  <c r="H221" i="1"/>
  <c r="B221" i="1"/>
  <c r="B220" i="1"/>
  <c r="H220" i="1" s="1"/>
  <c r="H219" i="1"/>
  <c r="B219" i="1"/>
  <c r="B218" i="1"/>
  <c r="H218" i="1" s="1"/>
  <c r="B217" i="1"/>
  <c r="H217" i="1" s="1"/>
  <c r="B216" i="1"/>
  <c r="H216" i="1" s="1"/>
  <c r="B215" i="1"/>
  <c r="H215" i="1" s="1"/>
  <c r="H214" i="1"/>
  <c r="B214" i="1"/>
  <c r="H213" i="1"/>
  <c r="B213" i="1"/>
  <c r="B212" i="1"/>
  <c r="H212" i="1" s="1"/>
  <c r="B211" i="1"/>
  <c r="H211" i="1" s="1"/>
  <c r="H210" i="1"/>
  <c r="B210" i="1"/>
  <c r="B209" i="1"/>
  <c r="H209" i="1" s="1"/>
  <c r="B208" i="1"/>
  <c r="H208" i="1" s="1"/>
  <c r="H207" i="1"/>
  <c r="B207" i="1"/>
  <c r="B206" i="1"/>
  <c r="H206" i="1" s="1"/>
  <c r="H205" i="1"/>
  <c r="B205" i="1"/>
  <c r="B204" i="1"/>
  <c r="H204" i="1" s="1"/>
  <c r="B203" i="1"/>
  <c r="H203" i="1" s="1"/>
  <c r="B202" i="1"/>
  <c r="H202" i="1" s="1"/>
  <c r="H201" i="1"/>
  <c r="B201" i="1"/>
  <c r="B200" i="1"/>
  <c r="H200" i="1" s="1"/>
  <c r="H199" i="1"/>
  <c r="B199" i="1"/>
  <c r="H198" i="1"/>
  <c r="B198" i="1"/>
  <c r="B197" i="1"/>
  <c r="H197" i="1" s="1"/>
  <c r="B196" i="1"/>
  <c r="H196" i="1" s="1"/>
  <c r="B195" i="1"/>
  <c r="H195" i="1" s="1"/>
  <c r="B194" i="1"/>
  <c r="H194" i="1" s="1"/>
  <c r="B193" i="1"/>
  <c r="H193" i="1" s="1"/>
  <c r="B192" i="1"/>
  <c r="H192" i="1" s="1"/>
  <c r="H191" i="1"/>
  <c r="B191" i="1"/>
  <c r="H190" i="1"/>
  <c r="B190" i="1"/>
  <c r="H189" i="1"/>
  <c r="B189" i="1"/>
  <c r="B188" i="1"/>
  <c r="H188" i="1" s="1"/>
  <c r="H187" i="1"/>
  <c r="B187" i="1"/>
  <c r="B186" i="1"/>
  <c r="H186" i="1" s="1"/>
  <c r="B185" i="1"/>
  <c r="H185" i="1" s="1"/>
  <c r="B184" i="1"/>
  <c r="H184" i="1" s="1"/>
  <c r="B183" i="1"/>
  <c r="H183" i="1" s="1"/>
  <c r="H182" i="1"/>
  <c r="B182" i="1"/>
  <c r="H181" i="1"/>
  <c r="B181" i="1"/>
  <c r="B180" i="1"/>
  <c r="H180" i="1" s="1"/>
  <c r="B179" i="1"/>
  <c r="H179" i="1" s="1"/>
  <c r="H178" i="1"/>
  <c r="B178" i="1"/>
  <c r="B177" i="1"/>
  <c r="H177" i="1" s="1"/>
  <c r="B176" i="1"/>
  <c r="H176" i="1" s="1"/>
  <c r="H175" i="1"/>
  <c r="B175" i="1"/>
  <c r="B174" i="1"/>
  <c r="H174" i="1" s="1"/>
  <c r="H173" i="1"/>
  <c r="B173" i="1"/>
  <c r="B172" i="1"/>
  <c r="H172" i="1" s="1"/>
  <c r="B171" i="1"/>
  <c r="H171" i="1" s="1"/>
  <c r="B170" i="1"/>
  <c r="H170" i="1" s="1"/>
  <c r="H169" i="1"/>
  <c r="B169" i="1"/>
  <c r="B168" i="1"/>
  <c r="H168" i="1" s="1"/>
  <c r="H167" i="1"/>
  <c r="B167" i="1"/>
  <c r="H166" i="1"/>
  <c r="B166" i="1"/>
  <c r="B165" i="1"/>
  <c r="H165" i="1" s="1"/>
  <c r="B164" i="1"/>
  <c r="H164" i="1" s="1"/>
  <c r="B163" i="1"/>
  <c r="H163" i="1" s="1"/>
  <c r="B162" i="1"/>
  <c r="H162" i="1" s="1"/>
  <c r="B161" i="1"/>
  <c r="H161" i="1" s="1"/>
  <c r="B160" i="1"/>
  <c r="H160" i="1" s="1"/>
  <c r="H159" i="1"/>
  <c r="B159" i="1"/>
  <c r="H158" i="1"/>
  <c r="B158" i="1"/>
  <c r="H157" i="1"/>
  <c r="B157" i="1"/>
  <c r="B156" i="1"/>
  <c r="H156" i="1" s="1"/>
  <c r="H155" i="1"/>
  <c r="B155" i="1"/>
  <c r="B154" i="1"/>
  <c r="H154" i="1" s="1"/>
  <c r="B153" i="1"/>
  <c r="H153" i="1" s="1"/>
  <c r="B152" i="1"/>
  <c r="H152" i="1" s="1"/>
  <c r="B151" i="1"/>
  <c r="H151" i="1" s="1"/>
  <c r="H150" i="1"/>
  <c r="B150" i="1"/>
  <c r="H149" i="1"/>
  <c r="B149" i="1"/>
  <c r="B148" i="1"/>
  <c r="H148" i="1" s="1"/>
  <c r="B147" i="1"/>
  <c r="H147" i="1" s="1"/>
  <c r="H146" i="1"/>
  <c r="B146" i="1"/>
  <c r="B145" i="1"/>
  <c r="H145" i="1" s="1"/>
  <c r="B144" i="1"/>
  <c r="H144" i="1" s="1"/>
  <c r="H143" i="1"/>
  <c r="B143" i="1"/>
  <c r="B142" i="1"/>
  <c r="H142" i="1" s="1"/>
  <c r="H141" i="1"/>
  <c r="B141" i="1"/>
  <c r="B140" i="1"/>
  <c r="H140" i="1" s="1"/>
  <c r="B139" i="1"/>
  <c r="H139" i="1" s="1"/>
  <c r="B138" i="1"/>
  <c r="H138" i="1" s="1"/>
  <c r="H137" i="1"/>
  <c r="B137" i="1"/>
  <c r="B136" i="1"/>
  <c r="H136" i="1" s="1"/>
  <c r="H135" i="1"/>
  <c r="B135" i="1"/>
  <c r="H134" i="1"/>
  <c r="B134" i="1"/>
  <c r="B133" i="1"/>
  <c r="H133" i="1" s="1"/>
  <c r="B132" i="1"/>
  <c r="H132" i="1" s="1"/>
  <c r="B131" i="1"/>
  <c r="H131" i="1" s="1"/>
  <c r="B130" i="1"/>
  <c r="H130" i="1" s="1"/>
  <c r="B129" i="1"/>
  <c r="H129" i="1" s="1"/>
  <c r="B128" i="1"/>
  <c r="H128" i="1" s="1"/>
  <c r="H127" i="1"/>
  <c r="B127" i="1"/>
  <c r="H126" i="1"/>
  <c r="B126" i="1"/>
  <c r="H125" i="1"/>
  <c r="B125" i="1"/>
  <c r="B124" i="1"/>
  <c r="H124" i="1" s="1"/>
  <c r="H123" i="1"/>
  <c r="B123" i="1"/>
  <c r="B122" i="1"/>
  <c r="H122" i="1" s="1"/>
  <c r="B121" i="1"/>
  <c r="H121" i="1" s="1"/>
  <c r="B120" i="1"/>
  <c r="H120" i="1" s="1"/>
  <c r="B119" i="1"/>
  <c r="H119" i="1" s="1"/>
  <c r="H118" i="1"/>
  <c r="B118" i="1"/>
  <c r="H117" i="1"/>
  <c r="B117" i="1"/>
  <c r="B116" i="1"/>
  <c r="H116" i="1" s="1"/>
  <c r="B115" i="1"/>
  <c r="H115" i="1" s="1"/>
  <c r="H114" i="1"/>
  <c r="B114" i="1"/>
  <c r="B113" i="1"/>
  <c r="H113" i="1" s="1"/>
  <c r="B112" i="1"/>
  <c r="H112" i="1" s="1"/>
  <c r="H111" i="1"/>
  <c r="B111" i="1"/>
  <c r="B110" i="1"/>
  <c r="H110" i="1" s="1"/>
  <c r="H109" i="1"/>
  <c r="B109" i="1"/>
  <c r="B108" i="1"/>
  <c r="H108" i="1" s="1"/>
  <c r="H107" i="1"/>
  <c r="B106" i="1"/>
  <c r="H106" i="1" s="1"/>
  <c r="B105" i="1"/>
  <c r="H105" i="1" s="1"/>
  <c r="B104" i="1"/>
  <c r="H104" i="1" s="1"/>
  <c r="B103" i="1"/>
  <c r="H103" i="1" s="1"/>
  <c r="B102" i="1"/>
  <c r="H102" i="1" s="1"/>
  <c r="B101" i="1"/>
  <c r="H101" i="1" s="1"/>
  <c r="B100" i="1"/>
  <c r="H100" i="1" s="1"/>
  <c r="B99" i="1"/>
  <c r="H99" i="1" s="1"/>
  <c r="B98" i="1"/>
  <c r="H98" i="1" s="1"/>
  <c r="B97" i="1"/>
  <c r="H97" i="1" s="1"/>
  <c r="B96" i="1"/>
  <c r="H96" i="1" s="1"/>
  <c r="B95" i="1"/>
  <c r="H95" i="1" s="1"/>
  <c r="B94" i="1"/>
  <c r="H94" i="1" s="1"/>
  <c r="B93" i="1"/>
  <c r="H93" i="1" s="1"/>
  <c r="B92" i="1"/>
  <c r="H92" i="1" s="1"/>
  <c r="B91" i="1"/>
  <c r="H91" i="1" s="1"/>
  <c r="B90" i="1"/>
  <c r="H90" i="1" s="1"/>
  <c r="B89" i="1"/>
  <c r="H89" i="1" s="1"/>
  <c r="B88" i="1"/>
  <c r="H88" i="1" s="1"/>
  <c r="B87" i="1"/>
  <c r="H87" i="1" s="1"/>
  <c r="B86" i="1"/>
  <c r="H86" i="1" s="1"/>
  <c r="B85" i="1"/>
  <c r="H85" i="1" s="1"/>
  <c r="B84" i="1"/>
  <c r="H84" i="1" s="1"/>
  <c r="B83" i="1"/>
  <c r="H83" i="1" s="1"/>
  <c r="B82" i="1"/>
  <c r="H82" i="1" s="1"/>
  <c r="B81" i="1"/>
  <c r="H81" i="1" s="1"/>
  <c r="B80" i="1"/>
  <c r="H80" i="1" s="1"/>
  <c r="B79" i="1"/>
  <c r="H79" i="1" s="1"/>
  <c r="B78" i="1"/>
  <c r="H78" i="1" s="1"/>
  <c r="B77" i="1"/>
  <c r="H77" i="1" s="1"/>
  <c r="B76" i="1"/>
  <c r="H76" i="1" s="1"/>
  <c r="B75" i="1"/>
  <c r="H75" i="1" s="1"/>
  <c r="B74" i="1"/>
  <c r="H74" i="1" s="1"/>
  <c r="B73" i="1"/>
  <c r="H73" i="1" s="1"/>
  <c r="B72" i="1"/>
  <c r="H72" i="1" s="1"/>
  <c r="B71" i="1"/>
  <c r="H71" i="1" s="1"/>
  <c r="B70" i="1"/>
  <c r="H70" i="1" s="1"/>
  <c r="B69" i="1"/>
  <c r="H69" i="1" s="1"/>
  <c r="B68" i="1"/>
  <c r="H68" i="1" s="1"/>
  <c r="B67" i="1"/>
  <c r="H67" i="1" s="1"/>
  <c r="B66" i="1"/>
  <c r="H66" i="1" s="1"/>
  <c r="B65" i="1"/>
  <c r="H65" i="1" s="1"/>
  <c r="B64" i="1"/>
  <c r="H64" i="1" s="1"/>
  <c r="B63" i="1"/>
  <c r="H63" i="1" s="1"/>
  <c r="B62" i="1"/>
  <c r="H62" i="1" s="1"/>
  <c r="B61" i="1"/>
  <c r="H61" i="1" s="1"/>
  <c r="B60" i="1"/>
  <c r="H60" i="1" s="1"/>
  <c r="B59" i="1"/>
  <c r="H59" i="1" s="1"/>
  <c r="B58" i="1"/>
  <c r="H58" i="1" s="1"/>
  <c r="B57" i="1"/>
  <c r="H57" i="1" s="1"/>
  <c r="B56" i="1"/>
  <c r="H56" i="1" s="1"/>
  <c r="B55" i="1"/>
  <c r="H55" i="1" s="1"/>
  <c r="B54" i="1"/>
  <c r="H54" i="1" s="1"/>
  <c r="B53" i="1"/>
  <c r="H53" i="1" s="1"/>
  <c r="B52" i="1"/>
  <c r="H52" i="1" s="1"/>
  <c r="B51" i="1"/>
  <c r="H51" i="1" s="1"/>
  <c r="B50" i="1"/>
  <c r="H50" i="1" s="1"/>
  <c r="B49" i="1"/>
  <c r="H49" i="1" s="1"/>
  <c r="B48" i="1"/>
  <c r="H48" i="1" s="1"/>
  <c r="B47" i="1"/>
  <c r="H47" i="1" s="1"/>
  <c r="B46" i="1"/>
  <c r="H46" i="1" s="1"/>
  <c r="B45" i="1"/>
  <c r="H45" i="1" s="1"/>
  <c r="B44" i="1"/>
  <c r="H44" i="1" s="1"/>
  <c r="B43" i="1"/>
  <c r="H43" i="1" s="1"/>
  <c r="B42" i="1"/>
  <c r="H42" i="1" s="1"/>
  <c r="B41" i="1"/>
  <c r="H41" i="1" s="1"/>
  <c r="B40" i="1"/>
  <c r="H40" i="1" s="1"/>
  <c r="B39" i="1"/>
  <c r="H39" i="1" s="1"/>
  <c r="B38" i="1"/>
  <c r="H38" i="1" s="1"/>
  <c r="B37" i="1"/>
  <c r="H37" i="1" s="1"/>
  <c r="B36" i="1"/>
  <c r="H36" i="1" s="1"/>
  <c r="B35" i="1"/>
  <c r="H35" i="1" s="1"/>
  <c r="B34" i="1"/>
  <c r="H34" i="1" s="1"/>
  <c r="B33" i="1"/>
  <c r="H33" i="1" s="1"/>
  <c r="B32" i="1"/>
  <c r="H32" i="1" s="1"/>
  <c r="B31" i="1"/>
  <c r="H31" i="1" s="1"/>
  <c r="B30" i="1"/>
  <c r="H30" i="1" s="1"/>
  <c r="B29" i="1"/>
  <c r="H29" i="1" s="1"/>
  <c r="B28" i="1"/>
  <c r="H28" i="1" s="1"/>
  <c r="B27" i="1"/>
  <c r="H27" i="1" s="1"/>
  <c r="B26" i="1"/>
  <c r="H26" i="1" s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Munich Lam</author>
  </authors>
  <commentList>
    <comment ref="D1" authorId="0" shapeId="0" xr:uid="{850E4C42-D2F4-CC46-BC3B-B60657A46EBF}">
      <text>
        <r>
          <rPr>
            <b/>
            <sz val="9"/>
            <color rgb="FF000000"/>
            <rFont val="Tahoma"/>
            <family val="2"/>
          </rPr>
          <t>Munich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只適用於</t>
        </r>
        <r>
          <rPr>
            <sz val="9"/>
            <color rgb="FF000000"/>
            <rFont val="Tahoma"/>
            <family val="2"/>
          </rPr>
          <t>Delta</t>
        </r>
      </text>
    </comment>
    <comment ref="E1" authorId="0" shapeId="0" xr:uid="{CCABF109-7577-154E-B8AB-6142D166B74A}">
      <text>
        <r>
          <rPr>
            <b/>
            <sz val="9"/>
            <color rgb="FF000000"/>
            <rFont val="Tahoma"/>
            <family val="2"/>
          </rPr>
          <t>Munich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For Delta, if it is the curve tenor
</t>
        </r>
        <r>
          <rPr>
            <sz val="9"/>
            <color rgb="FF000000"/>
            <rFont val="Tahoma"/>
            <family val="2"/>
          </rPr>
          <t>For Vega, it is the vol tenor</t>
        </r>
      </text>
    </comment>
    <comment ref="N1" authorId="0" shapeId="0" xr:uid="{B0DAA38B-E638-6149-9974-FA71B42ACAE1}">
      <text>
        <r>
          <rPr>
            <b/>
            <sz val="9"/>
            <color indexed="81"/>
            <rFont val="Tahoma"/>
            <family val="2"/>
          </rPr>
          <t>Munich Lam:</t>
        </r>
        <r>
          <rPr>
            <sz val="9"/>
            <color indexed="81"/>
            <rFont val="Tahoma"/>
            <family val="2"/>
          </rPr>
          <t xml:space="preserve">
For Delta, if it is the curve tenor
For Vega, it is the vol tenor</t>
        </r>
      </text>
    </comment>
    <comment ref="O1" authorId="0" shapeId="0" xr:uid="{D2C80786-30EA-2244-B838-DD02A0B9FC8B}">
      <text>
        <r>
          <rPr>
            <b/>
            <sz val="9"/>
            <color indexed="81"/>
            <rFont val="Tahoma"/>
            <family val="2"/>
          </rPr>
          <t>Munich Lam:</t>
        </r>
        <r>
          <rPr>
            <sz val="9"/>
            <color indexed="81"/>
            <rFont val="Tahoma"/>
            <family val="2"/>
          </rPr>
          <t xml:space="preserve">
只適用於Delta</t>
        </r>
      </text>
    </comment>
    <comment ref="X1" authorId="0" shapeId="0" xr:uid="{F937696D-4742-B14F-8AFB-236880FB6DD6}">
      <text>
        <r>
          <rPr>
            <b/>
            <sz val="9"/>
            <color indexed="81"/>
            <rFont val="Tahoma"/>
            <family val="2"/>
          </rPr>
          <t>Munich Lam:</t>
        </r>
        <r>
          <rPr>
            <sz val="9"/>
            <color indexed="81"/>
            <rFont val="Tahoma"/>
            <family val="2"/>
          </rPr>
          <t xml:space="preserve">
For Delta, if it is the curve tenor
For Vega, it is the vol tenor</t>
        </r>
      </text>
    </comment>
    <comment ref="Y1" authorId="0" shapeId="0" xr:uid="{BA40EB6F-B8AF-DF43-842C-AACBF5CE9259}">
      <text>
        <r>
          <rPr>
            <b/>
            <sz val="9"/>
            <color indexed="81"/>
            <rFont val="Tahoma"/>
            <family val="2"/>
          </rPr>
          <t>Munich Lam:</t>
        </r>
        <r>
          <rPr>
            <sz val="9"/>
            <color indexed="81"/>
            <rFont val="Tahoma"/>
            <family val="2"/>
          </rPr>
          <t xml:space="preserve">
只適用於Delta</t>
        </r>
      </text>
    </comment>
    <comment ref="AI1" authorId="0" shapeId="0" xr:uid="{026CD2D6-C900-874A-BCB0-EDD7CC63FEE0}">
      <text>
        <r>
          <rPr>
            <b/>
            <sz val="9"/>
            <color indexed="81"/>
            <rFont val="Tahoma"/>
            <family val="2"/>
          </rPr>
          <t>Munich Lam:</t>
        </r>
        <r>
          <rPr>
            <sz val="9"/>
            <color indexed="81"/>
            <rFont val="Tahoma"/>
            <family val="2"/>
          </rPr>
          <t xml:space="preserve">
option maturity --&gt; 只適用於Vega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Millie MY Huang</author>
  </authors>
  <commentList>
    <comment ref="B1" authorId="0" shapeId="0" xr:uid="{5A98D1B0-4382-394F-BB75-8FED6E657217}">
      <text>
        <r>
          <rPr>
            <b/>
            <sz val="9"/>
            <color rgb="FF000000"/>
            <rFont val="Calibri"/>
            <family val="3"/>
            <charset val="136"/>
          </rPr>
          <t xml:space="preserve">Millie Huang:
</t>
        </r>
        <r>
          <rPr>
            <sz val="9"/>
            <color rgb="FF000000"/>
            <rFont val="Calibri"/>
            <family val="3"/>
            <charset val="136"/>
          </rPr>
          <t xml:space="preserve">Basel [22.22]
</t>
        </r>
        <r>
          <rPr>
            <sz val="9"/>
            <color rgb="FF000000"/>
            <rFont val="M 盈黑 HK W4"/>
            <family val="3"/>
            <charset val="136"/>
          </rPr>
          <t>企業；</t>
        </r>
        <r>
          <rPr>
            <sz val="9"/>
            <color rgb="FF000000"/>
            <rFont val="Calibri"/>
            <family val="3"/>
            <charset val="136"/>
          </rPr>
          <t xml:space="preserve">or
</t>
        </r>
        <r>
          <rPr>
            <sz val="9"/>
            <color rgb="FF000000"/>
            <rFont val="M 盈黑 HK W4"/>
            <family val="3"/>
            <charset val="136"/>
          </rPr>
          <t>主權國家；</t>
        </r>
        <r>
          <rPr>
            <sz val="9"/>
            <color rgb="FF000000"/>
            <rFont val="Calibri"/>
            <family val="3"/>
            <charset val="136"/>
          </rPr>
          <t xml:space="preserve">or
</t>
        </r>
        <r>
          <rPr>
            <sz val="9"/>
            <color rgb="FF000000"/>
            <rFont val="M 盈黑 HK W4"/>
            <family val="3"/>
            <charset val="136"/>
          </rPr>
          <t>國內地方政府</t>
        </r>
        <r>
          <rPr>
            <sz val="9"/>
            <color rgb="FF000000"/>
            <rFont val="Calibri"/>
            <family val="3"/>
            <charset val="136"/>
          </rPr>
          <t>/</t>
        </r>
        <r>
          <rPr>
            <sz val="9"/>
            <color rgb="FF000000"/>
            <rFont val="M 盈黑 HK W4"/>
            <family val="3"/>
            <charset val="136"/>
          </rPr>
          <t>直轄市。</t>
        </r>
        <r>
          <rPr>
            <b/>
            <sz val="9"/>
            <color rgb="FF000000"/>
            <rFont val="Calibri"/>
            <family val="3"/>
            <charset val="136"/>
          </rPr>
          <t xml:space="preserve">
</t>
        </r>
      </text>
    </comment>
    <comment ref="F1" authorId="0" shapeId="0" xr:uid="{83D3B468-DD5D-3B42-A3F7-4486CF2AC5C7}">
      <text>
        <r>
          <rPr>
            <b/>
            <sz val="9"/>
            <color rgb="FF000000"/>
            <rFont val="Calibri"/>
            <family val="3"/>
            <charset val="136"/>
          </rPr>
          <t>Millie Huang:</t>
        </r>
        <r>
          <rPr>
            <sz val="9"/>
            <color rgb="FF000000"/>
            <rFont val="Calibri"/>
            <family val="3"/>
            <charset val="136"/>
          </rPr>
          <t xml:space="preserve">
</t>
        </r>
        <r>
          <rPr>
            <sz val="9"/>
            <color rgb="FF000000"/>
            <rFont val="Calibri"/>
            <family val="3"/>
            <charset val="136"/>
          </rPr>
          <t xml:space="preserve">Besel [22.12]
</t>
        </r>
        <r>
          <rPr>
            <sz val="9"/>
            <color rgb="FF000000"/>
            <rFont val="M 盈黑 HK W4"/>
            <family val="3"/>
            <charset val="136"/>
          </rPr>
          <t>權益證券；</t>
        </r>
        <r>
          <rPr>
            <sz val="9"/>
            <color rgb="FF000000"/>
            <rFont val="Calibri"/>
            <family val="3"/>
            <charset val="136"/>
          </rPr>
          <t xml:space="preserve">or
</t>
        </r>
        <r>
          <rPr>
            <sz val="9"/>
            <color rgb="FF000000"/>
            <rFont val="M 盈黑 HK W4"/>
            <family val="3"/>
            <charset val="136"/>
          </rPr>
          <t>優先受償債務；</t>
        </r>
        <r>
          <rPr>
            <sz val="9"/>
            <color rgb="FF000000"/>
            <rFont val="Calibri"/>
            <family val="3"/>
            <charset val="136"/>
          </rPr>
          <t xml:space="preserve">or
</t>
        </r>
        <r>
          <rPr>
            <sz val="9"/>
            <color rgb="FF000000"/>
            <rFont val="M 盈黑 HK W4"/>
            <family val="3"/>
            <charset val="136"/>
          </rPr>
          <t>非優先受償債務；</t>
        </r>
        <r>
          <rPr>
            <sz val="9"/>
            <color rgb="FF000000"/>
            <rFont val="Calibri"/>
            <family val="3"/>
            <charset val="136"/>
          </rPr>
          <t xml:space="preserve">or
</t>
        </r>
        <r>
          <rPr>
            <sz val="9"/>
            <color rgb="FF000000"/>
            <rFont val="M 盈黑 HK W4"/>
            <family val="3"/>
            <charset val="136"/>
          </rPr>
          <t>擔保債券</t>
        </r>
      </text>
    </comment>
    <comment ref="G1" authorId="0" shapeId="0" xr:uid="{6D739EFA-7EAC-BB4B-B99B-DFF33E6EB7AD}">
      <text>
        <r>
          <rPr>
            <b/>
            <sz val="9"/>
            <color rgb="FF000000"/>
            <rFont val="Calibri"/>
            <family val="3"/>
            <charset val="136"/>
          </rPr>
          <t>Millie Huang:</t>
        </r>
        <r>
          <rPr>
            <sz val="9"/>
            <color rgb="FF000000"/>
            <rFont val="Calibri"/>
            <family val="3"/>
            <charset val="136"/>
          </rPr>
          <t xml:space="preserve">
</t>
        </r>
        <r>
          <rPr>
            <sz val="9"/>
            <color rgb="FF000000"/>
            <rFont val="Calibri"/>
            <family val="3"/>
            <charset val="136"/>
          </rPr>
          <t xml:space="preserve">Basel [22.10] (1) 
</t>
        </r>
        <r>
          <rPr>
            <sz val="9"/>
            <color rgb="FF000000"/>
            <rFont val="M 盈黑 HK W4"/>
            <family val="3"/>
            <charset val="136"/>
          </rPr>
          <t>長暴險定義為違約情況下導致損失之信用暴險。</t>
        </r>
      </text>
    </comment>
    <comment ref="H1" authorId="0" shapeId="0" xr:uid="{469AA47E-2DF6-DA49-B017-7187458E8AA8}">
      <text>
        <r>
          <rPr>
            <b/>
            <sz val="9"/>
            <color rgb="FF000000"/>
            <rFont val="Calibri"/>
            <family val="3"/>
            <charset val="136"/>
          </rPr>
          <t xml:space="preserve">Millie Huang: 
</t>
        </r>
        <r>
          <rPr>
            <sz val="9"/>
            <color rgb="FF000000"/>
            <rFont val="M 盈黑 HK W4"/>
            <family val="3"/>
            <charset val="136"/>
          </rPr>
          <t>不論長部位或是短部位，名目本金請都填入正值。在後面計算</t>
        </r>
        <r>
          <rPr>
            <sz val="9"/>
            <color rgb="FF000000"/>
            <rFont val="Calibri"/>
            <family val="3"/>
            <charset val="136"/>
          </rPr>
          <t>JTD</t>
        </r>
        <r>
          <rPr>
            <sz val="9"/>
            <color rgb="FF000000"/>
            <rFont val="M 盈黑 HK W4"/>
            <family val="3"/>
            <charset val="136"/>
          </rPr>
          <t>時，會依照信用暴險分類</t>
        </r>
        <r>
          <rPr>
            <sz val="9"/>
            <color rgb="FF000000"/>
            <rFont val="Calibri"/>
            <family val="3"/>
            <charset val="136"/>
          </rPr>
          <t>(</t>
        </r>
        <r>
          <rPr>
            <sz val="9"/>
            <color rgb="FF000000"/>
            <rFont val="M 盈黑 HK W4"/>
            <family val="3"/>
            <charset val="136"/>
          </rPr>
          <t>長</t>
        </r>
        <r>
          <rPr>
            <sz val="9"/>
            <color rgb="FF000000"/>
            <rFont val="Calibri"/>
            <family val="3"/>
            <charset val="136"/>
          </rPr>
          <t>/</t>
        </r>
        <r>
          <rPr>
            <sz val="9"/>
            <color rgb="FF000000"/>
            <rFont val="M 盈黑 HK W4"/>
            <family val="3"/>
            <charset val="136"/>
          </rPr>
          <t>短</t>
        </r>
        <r>
          <rPr>
            <sz val="9"/>
            <color rgb="FF000000"/>
            <rFont val="Calibri"/>
            <family val="3"/>
            <charset val="136"/>
          </rPr>
          <t>)</t>
        </r>
        <r>
          <rPr>
            <sz val="9"/>
            <color rgb="FF000000"/>
            <rFont val="M 盈黑 HK W4"/>
            <family val="3"/>
            <charset val="136"/>
          </rPr>
          <t>自動分成正負值。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Munich Lam</author>
  </authors>
  <commentList>
    <comment ref="D1" authorId="0" shapeId="0" xr:uid="{BF0B8629-4E9B-1E4A-B8C0-2F46C21B873C}">
      <text>
        <r>
          <rPr>
            <b/>
            <sz val="9"/>
            <color rgb="FF000000"/>
            <rFont val="Tahoma"/>
            <family val="2"/>
          </rPr>
          <t>Munich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For Delta, if it is the curve tenor
</t>
        </r>
        <r>
          <rPr>
            <sz val="9"/>
            <color rgb="FF000000"/>
            <rFont val="Tahoma"/>
            <family val="2"/>
          </rPr>
          <t>For Vega, it is the vol tenor</t>
        </r>
      </text>
    </comment>
    <comment ref="E1" authorId="0" shapeId="0" xr:uid="{8289FF8B-A63D-B54E-A591-F1388B8C9478}">
      <text>
        <r>
          <rPr>
            <b/>
            <sz val="9"/>
            <color rgb="FF000000"/>
            <rFont val="Tahoma"/>
            <family val="2"/>
          </rPr>
          <t>Munich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只適用於</t>
        </r>
        <r>
          <rPr>
            <sz val="9"/>
            <color rgb="FF000000"/>
            <rFont val="Tahoma"/>
            <family val="2"/>
          </rPr>
          <t>Delta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Munich Lam</author>
  </authors>
  <commentList>
    <comment ref="D1" authorId="0" shapeId="0" xr:uid="{297ACCCE-4019-9644-B234-2B47F0418920}">
      <text>
        <r>
          <rPr>
            <b/>
            <sz val="9"/>
            <color rgb="FF000000"/>
            <rFont val="Tahoma"/>
            <family val="2"/>
          </rPr>
          <t>Munich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For Delta, if it is the curve tenor
</t>
        </r>
        <r>
          <rPr>
            <sz val="9"/>
            <color rgb="FF000000"/>
            <rFont val="Tahoma"/>
            <family val="2"/>
          </rPr>
          <t>For Vega, it is the vol tenor</t>
        </r>
      </text>
    </comment>
    <comment ref="E1" authorId="0" shapeId="0" xr:uid="{A83C162F-9F6E-E14B-91F8-880A053D1D15}">
      <text>
        <r>
          <rPr>
            <b/>
            <sz val="9"/>
            <color rgb="FF000000"/>
            <rFont val="Tahoma"/>
            <family val="2"/>
          </rPr>
          <t>Munich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只適用於</t>
        </r>
        <r>
          <rPr>
            <sz val="9"/>
            <color rgb="FF000000"/>
            <rFont val="Tahoma"/>
            <family val="2"/>
          </rPr>
          <t>Delta</t>
        </r>
      </text>
    </comment>
  </commentList>
</comments>
</file>

<file path=xl/sharedStrings.xml><?xml version="1.0" encoding="utf-8"?>
<sst xmlns="http://schemas.openxmlformats.org/spreadsheetml/2006/main" count="1194" uniqueCount="127">
  <si>
    <t>CVR+/CVR-</t>
  </si>
  <si>
    <t>Delta</t>
  </si>
  <si>
    <t>AUD</t>
  </si>
  <si>
    <t>AUD FX ARR</t>
  </si>
  <si>
    <t>Yield</t>
  </si>
  <si>
    <t>Vega</t>
  </si>
  <si>
    <t>XCCY</t>
  </si>
  <si>
    <t>AUD AONIA</t>
  </si>
  <si>
    <t>CVR</t>
  </si>
  <si>
    <t>CVR+</t>
  </si>
  <si>
    <t>CVR-</t>
  </si>
  <si>
    <t>USD</t>
  </si>
  <si>
    <t>AUD :STD</t>
  </si>
  <si>
    <t>AUD BBSW 6M</t>
  </si>
  <si>
    <t>CAD FX ARR</t>
  </si>
  <si>
    <t>CNH HIBOR 3M</t>
  </si>
  <si>
    <t>CNH :Std</t>
  </si>
  <si>
    <t>CNH FX OIS</t>
  </si>
  <si>
    <t>CNH 1 GOV</t>
  </si>
  <si>
    <t>CNY FXR</t>
  </si>
  <si>
    <t>CNY 7D REPO</t>
  </si>
  <si>
    <t>CNY SHIBOR 3M</t>
  </si>
  <si>
    <t>EUR :STD</t>
  </si>
  <si>
    <t>EUR ESTR</t>
  </si>
  <si>
    <t>EUR FX ARR</t>
  </si>
  <si>
    <t>EUR EURIBOR 6M</t>
  </si>
  <si>
    <t>EUR EURIBOR 3M</t>
  </si>
  <si>
    <t>GBP FX ARR</t>
  </si>
  <si>
    <t>HKD FX ARR</t>
  </si>
  <si>
    <t>HKD</t>
  </si>
  <si>
    <t>HK CPI</t>
  </si>
  <si>
    <t>Inflation</t>
  </si>
  <si>
    <t>HKD HIBOR 3M</t>
  </si>
  <si>
    <t>HKD :STD</t>
  </si>
  <si>
    <t>HKD HONIA</t>
  </si>
  <si>
    <t>HKD FX OIS</t>
  </si>
  <si>
    <t>HKD HIBOR 1M</t>
  </si>
  <si>
    <t>IDN FX</t>
  </si>
  <si>
    <t>INN FX</t>
  </si>
  <si>
    <t>JPY FX ARR</t>
  </si>
  <si>
    <t>KRN FX</t>
  </si>
  <si>
    <t>MYN FX</t>
  </si>
  <si>
    <t>NZD FX ARR</t>
  </si>
  <si>
    <t>PHN FX</t>
  </si>
  <si>
    <t>SGD FX ARR</t>
  </si>
  <si>
    <t>SGD FX</t>
  </si>
  <si>
    <t>SGD SOR 6M</t>
  </si>
  <si>
    <t>SGD SORA</t>
  </si>
  <si>
    <t>SGD SOR 3M</t>
  </si>
  <si>
    <t>THB FX</t>
  </si>
  <si>
    <t>TWN FX</t>
  </si>
  <si>
    <t>USD SOFR</t>
  </si>
  <si>
    <t>USD :STD</t>
  </si>
  <si>
    <t>USD LIBOR 3M</t>
  </si>
  <si>
    <t>USD LIBOR 1M</t>
  </si>
  <si>
    <t>Sensi Type</t>
  </si>
  <si>
    <t>Curve Name</t>
  </si>
  <si>
    <t>Curve Type</t>
  </si>
  <si>
    <t>Tenor</t>
  </si>
  <si>
    <t>Risk factor</t>
  </si>
  <si>
    <t>SA Bucket</t>
  </si>
  <si>
    <t>Sensitivity (reporting currency equiv.)</t>
  </si>
  <si>
    <t>HKMA</t>
  </si>
  <si>
    <t>CDS</t>
  </si>
  <si>
    <t>Bond</t>
  </si>
  <si>
    <t>ECB</t>
  </si>
  <si>
    <t>ABC</t>
  </si>
  <si>
    <t>ABCD</t>
  </si>
  <si>
    <t>ABCDE</t>
  </si>
  <si>
    <t>ABCDEF</t>
  </si>
  <si>
    <t>ABCDEFG</t>
  </si>
  <si>
    <t>Issuer Name</t>
  </si>
  <si>
    <t>Credit Rating (Optional)</t>
  </si>
  <si>
    <t>GBP/EUR</t>
  </si>
  <si>
    <t>JPY/EUR</t>
  </si>
  <si>
    <t>CAD</t>
  </si>
  <si>
    <t>EUR</t>
  </si>
  <si>
    <t>CHF</t>
  </si>
  <si>
    <t>Bauhinia - Class A1</t>
  </si>
  <si>
    <t>MADPF - Class A1A</t>
  </si>
  <si>
    <t>Supernova - Class A</t>
  </si>
  <si>
    <t>HSBC Holdings plc</t>
  </si>
  <si>
    <t>Spot</t>
  </si>
  <si>
    <t>Repo</t>
  </si>
  <si>
    <t>Morgan Stanley</t>
  </si>
  <si>
    <t>The Goldman Sachs Group, Inc.</t>
  </si>
  <si>
    <t>Geely Auto</t>
  </si>
  <si>
    <t>Citic</t>
  </si>
  <si>
    <t>Ckh Holdings</t>
  </si>
  <si>
    <t>Hing Yip Hldgs</t>
  </si>
  <si>
    <t>Issuer</t>
  </si>
  <si>
    <t>Brent</t>
  </si>
  <si>
    <t>Le Havre</t>
  </si>
  <si>
    <t>WTI</t>
  </si>
  <si>
    <t>Oklahoma</t>
  </si>
  <si>
    <t>Light-sweet</t>
  </si>
  <si>
    <t>Houston</t>
  </si>
  <si>
    <t>Heavy</t>
  </si>
  <si>
    <t>Miami</t>
  </si>
  <si>
    <t>Commodity</t>
  </si>
  <si>
    <t>Location</t>
  </si>
  <si>
    <t>Underlying Tenor</t>
  </si>
  <si>
    <t>Price Type</t>
  </si>
  <si>
    <t>Obligator</t>
  </si>
  <si>
    <t>Bucket</t>
  </si>
  <si>
    <t>Seniority Level</t>
  </si>
  <si>
    <t>Instrument</t>
  </si>
  <si>
    <t>Credit Exposure</t>
  </si>
  <si>
    <t>Notional Amount</t>
  </si>
  <si>
    <t>P&amp;L</t>
  </si>
  <si>
    <t>Market Value</t>
  </si>
  <si>
    <t>USCA0794</t>
  </si>
  <si>
    <t>CACP0101</t>
  </si>
  <si>
    <t>USCU0077</t>
  </si>
  <si>
    <t>TAIWAN GOV</t>
  </si>
  <si>
    <t>SOVEREIGN</t>
  </si>
  <si>
    <t>AAA</t>
  </si>
  <si>
    <t>CORPORATE</t>
  </si>
  <si>
    <t>NR</t>
  </si>
  <si>
    <t>Long</t>
  </si>
  <si>
    <t>Equity</t>
  </si>
  <si>
    <t>Credit Quality</t>
  </si>
  <si>
    <t>Zero</t>
  </si>
  <si>
    <t>A</t>
  </si>
  <si>
    <t>BBB</t>
  </si>
  <si>
    <t>Short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</si>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</sst>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9"/>
      <color rgb="FF000000"/>
      <name val="M 盈黑 HK W4"/>
      <family val="3"/>
      <charset val="136"/>
    </font>
    <font>
      <b/>
      <sz val="9"/>
      <color rgb="FF000000"/>
      <name val="Calibri"/>
      <family val="3"/>
      <charset val="136"/>
    </font>
    <font>
      <sz val="9"/>
      <color rgb="FF000000"/>
      <name val="Calibri"/>
      <family val="3"/>
      <charset val="136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/>
    <xf numFmtId="3" fontId="0" fillId="0" borderId="0" xfId="0" applyNumberFormat="1"/>
    <xf numFmtId="0" fontId="0" fillId="4" borderId="0" xfId="0" applyFill="1"/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0" fontId="7" fillId="0" borderId="0" xfId="0" applyFont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DD19-09A4-DE44-A5F9-BF159ED76E1E}">
  <sheetPr codeName="Sheet2">
    <tabColor rgb="FF00B0F0"/>
  </sheetPr>
  <dimension ref="A1:BB238"/>
  <sheetViews>
    <sheetView zoomScale="139" workbookViewId="0">
      <pane ySplit="1" topLeftCell="A2" activePane="bottomLeft" state="frozen"/>
      <selection activeCell="E1" sqref="E1"/>
      <selection pane="bottomLeft" activeCell="I1" sqref="I1"/>
    </sheetView>
  </sheetViews>
  <sheetFormatPr baseColWidth="10" defaultColWidth="8.83203125" defaultRowHeight="15"/>
  <cols>
    <col min="1" max="2" width="20.5" bestFit="1" customWidth="1"/>
    <col min="3" max="3" width="16.1640625" bestFit="1" customWidth="1"/>
    <col min="4" max="4" width="18.1640625" bestFit="1" customWidth="1"/>
    <col min="5" max="5" width="9.83203125" bestFit="1" customWidth="1"/>
    <col min="6" max="6" width="55.5" bestFit="1" customWidth="1"/>
    <col min="7" max="7" width="12.83203125" bestFit="1" customWidth="1"/>
    <col min="8" max="8" width="31" bestFit="1" customWidth="1"/>
    <col min="9" max="9" width="30.5" bestFit="1" customWidth="1"/>
    <col min="11" max="12" width="18" bestFit="1" customWidth="1"/>
    <col min="13" max="13" width="13.1640625" bestFit="1" customWidth="1"/>
    <col min="14" max="14" width="7.33203125" bestFit="1" customWidth="1"/>
    <col min="15" max="15" width="15.5" bestFit="1" customWidth="1"/>
    <col min="16" max="16" width="10.1640625" bestFit="1" customWidth="1"/>
    <col min="17" max="17" width="21.1640625" bestFit="1" customWidth="1"/>
    <col min="18" max="18" width="22.33203125" bestFit="1" customWidth="1"/>
    <col min="19" max="19" width="27.83203125" bestFit="1" customWidth="1"/>
    <col min="21" max="22" width="18" bestFit="1" customWidth="1"/>
    <col min="23" max="23" width="18.5" bestFit="1" customWidth="1"/>
    <col min="24" max="24" width="7.33203125" bestFit="1" customWidth="1"/>
    <col min="25" max="25" width="15.5" bestFit="1" customWidth="1"/>
    <col min="26" max="26" width="10.1640625" bestFit="1" customWidth="1"/>
    <col min="27" max="27" width="30" bestFit="1" customWidth="1"/>
    <col min="28" max="28" width="22.33203125" bestFit="1" customWidth="1"/>
    <col min="29" max="29" width="27.83203125" bestFit="1" customWidth="1"/>
    <col min="31" max="32" width="18" bestFit="1" customWidth="1"/>
    <col min="33" max="33" width="28.83203125" bestFit="1" customWidth="1"/>
    <col min="34" max="34" width="11" bestFit="1" customWidth="1"/>
    <col min="35" max="35" width="7.33203125" bestFit="1" customWidth="1"/>
    <col min="36" max="36" width="10.1640625" bestFit="1" customWidth="1"/>
    <col min="37" max="37" width="36.33203125" bestFit="1" customWidth="1"/>
    <col min="38" max="38" width="27.83203125" bestFit="1" customWidth="1"/>
    <col min="40" max="41" width="18" bestFit="1" customWidth="1"/>
    <col min="42" max="42" width="12.1640625" bestFit="1" customWidth="1"/>
    <col min="43" max="43" width="7.33203125" bestFit="1" customWidth="1"/>
    <col min="44" max="45" width="10.1640625" bestFit="1" customWidth="1"/>
    <col min="46" max="46" width="23.5" bestFit="1" customWidth="1"/>
    <col min="47" max="47" width="27.83203125" bestFit="1" customWidth="1"/>
    <col min="49" max="50" width="18" bestFit="1" customWidth="1"/>
    <col min="51" max="51" width="13" bestFit="1" customWidth="1"/>
    <col min="52" max="52" width="10.1640625" bestFit="1" customWidth="1"/>
    <col min="53" max="53" width="12.5" bestFit="1" customWidth="1"/>
    <col min="54" max="54" width="27.83203125" bestFit="1" customWidth="1"/>
  </cols>
  <sheetData>
    <row r="1" spans="1:54" s="4" customFormat="1" ht="31.25" customHeight="1">
      <c r="A1" s="1" t="s">
        <v>55</v>
      </c>
      <c r="B1" s="1" t="s">
        <v>60</v>
      </c>
      <c r="C1" s="1" t="s">
        <v>56</v>
      </c>
      <c r="D1" s="1" t="s">
        <v>57</v>
      </c>
      <c r="E1" s="1" t="s">
        <v>58</v>
      </c>
      <c r="F1" s="1" t="s">
        <v>101</v>
      </c>
      <c r="G1" s="2" t="s">
        <v>0</v>
      </c>
      <c r="H1" s="3" t="s">
        <v>59</v>
      </c>
      <c r="I1" s="1" t="s">
        <v>61</v>
      </c>
      <c r="K1" s="1"/>
      <c r="L1" s="1"/>
      <c r="M1" s="1"/>
      <c r="N1" s="1"/>
      <c r="O1" s="1"/>
      <c r="P1" s="2"/>
      <c r="Q1" s="3"/>
      <c r="R1" s="1"/>
      <c r="S1" s="1"/>
      <c r="U1" s="1"/>
      <c r="V1" s="1"/>
      <c r="W1" s="1"/>
      <c r="X1" s="1"/>
      <c r="Y1" s="1"/>
      <c r="Z1" s="2"/>
      <c r="AA1" s="3"/>
      <c r="AB1" s="1"/>
      <c r="AC1" s="1"/>
      <c r="AE1" s="1"/>
      <c r="AF1" s="1"/>
      <c r="AG1" s="1"/>
      <c r="AH1" s="1"/>
      <c r="AI1" s="1"/>
      <c r="AJ1" s="2"/>
      <c r="AK1" s="3"/>
      <c r="AL1" s="1"/>
      <c r="AN1" s="1"/>
      <c r="AO1" s="1"/>
      <c r="AP1" s="1"/>
      <c r="AQ1" s="1"/>
      <c r="AR1" s="1"/>
      <c r="AS1" s="2"/>
      <c r="AT1" s="3"/>
      <c r="AU1" s="1"/>
      <c r="AW1" s="1"/>
      <c r="AX1" s="1"/>
      <c r="AY1" s="1"/>
      <c r="AZ1" s="1"/>
      <c r="BA1" s="3"/>
      <c r="BB1" s="1"/>
    </row>
    <row r="2" spans="1:54">
      <c r="A2" t="s">
        <v>1</v>
      </c>
      <c r="B2" t="s">
        <v>2</v>
      </c>
      <c r="C2" t="s">
        <v>3</v>
      </c>
      <c r="D2" t="s">
        <v>4</v>
      </c>
      <c r="E2">
        <v>0.25</v>
      </c>
      <c r="H2" s="5" t="str">
        <f t="shared" ref="H2:H65" si="0">IF($A2="Delta",_xlfn.TEXTJOIN("#",TRUE,$B2:$E2),IF($A2="Vega",_xlfn.TEXTJOIN("#",TRUE,$B2,$E2,$F2),$B2))</f>
        <v>AUD#AUD FX ARR#Yield#0.25</v>
      </c>
      <c r="I2">
        <v>40424024.335085236</v>
      </c>
      <c r="BB2" s="6"/>
    </row>
    <row r="3" spans="1:54">
      <c r="A3" t="s">
        <v>1</v>
      </c>
      <c r="B3" t="s">
        <v>2</v>
      </c>
      <c r="C3" t="s">
        <v>3</v>
      </c>
      <c r="D3" t="s">
        <v>4</v>
      </c>
      <c r="E3">
        <v>0.5</v>
      </c>
      <c r="H3" s="5" t="str">
        <f t="shared" si="0"/>
        <v>AUD#AUD FX ARR#Yield#0.5</v>
      </c>
      <c r="I3">
        <v>-21583626.132963289</v>
      </c>
      <c r="BB3" s="6"/>
    </row>
    <row r="4" spans="1:54">
      <c r="A4" t="s">
        <v>1</v>
      </c>
      <c r="B4" t="s">
        <v>2</v>
      </c>
      <c r="C4" t="s">
        <v>3</v>
      </c>
      <c r="D4" t="s">
        <v>6</v>
      </c>
      <c r="E4" s="7">
        <v>0</v>
      </c>
      <c r="H4" s="5" t="str">
        <f t="shared" si="0"/>
        <v>AUD#AUD FX ARR#XCCY#0</v>
      </c>
      <c r="I4">
        <v>66156756.347631298</v>
      </c>
      <c r="BB4" s="6"/>
    </row>
    <row r="5" spans="1:54">
      <c r="A5" t="s">
        <v>1</v>
      </c>
      <c r="B5" t="s">
        <v>2</v>
      </c>
      <c r="C5" t="s">
        <v>3</v>
      </c>
      <c r="D5" t="s">
        <v>4</v>
      </c>
      <c r="E5">
        <v>1</v>
      </c>
      <c r="H5" s="5" t="str">
        <f t="shared" si="0"/>
        <v>AUD#AUD FX ARR#Yield#1</v>
      </c>
      <c r="I5">
        <v>47316365.301140442</v>
      </c>
      <c r="BB5" s="6"/>
    </row>
    <row r="6" spans="1:54">
      <c r="A6" t="s">
        <v>1</v>
      </c>
      <c r="B6" t="s">
        <v>2</v>
      </c>
      <c r="C6" t="s">
        <v>7</v>
      </c>
      <c r="D6" t="s">
        <v>4</v>
      </c>
      <c r="E6">
        <v>2</v>
      </c>
      <c r="H6" s="5" t="str">
        <f t="shared" si="0"/>
        <v>AUD#AUD AONIA#Yield#2</v>
      </c>
      <c r="I6">
        <v>1470238.5774988907</v>
      </c>
      <c r="BB6" s="6"/>
    </row>
    <row r="7" spans="1:54">
      <c r="A7" t="s">
        <v>1</v>
      </c>
      <c r="B7" t="s">
        <v>2</v>
      </c>
      <c r="C7" t="s">
        <v>7</v>
      </c>
      <c r="D7" t="s">
        <v>4</v>
      </c>
      <c r="E7">
        <v>0.25</v>
      </c>
      <c r="H7" s="5" t="str">
        <f t="shared" si="0"/>
        <v>AUD#AUD AONIA#Yield#0.25</v>
      </c>
      <c r="I7">
        <v>191971.66032045655</v>
      </c>
      <c r="BB7" s="6"/>
    </row>
    <row r="8" spans="1:54">
      <c r="A8" t="s">
        <v>1</v>
      </c>
      <c r="B8" t="s">
        <v>2</v>
      </c>
      <c r="C8" t="s">
        <v>7</v>
      </c>
      <c r="D8" t="s">
        <v>4</v>
      </c>
      <c r="E8">
        <v>3</v>
      </c>
      <c r="H8" s="5" t="str">
        <f t="shared" si="0"/>
        <v>AUD#AUD AONIA#Yield#3</v>
      </c>
      <c r="I8">
        <v>5507465.9380206531</v>
      </c>
      <c r="BB8" s="6"/>
    </row>
    <row r="9" spans="1:54">
      <c r="A9" t="s">
        <v>1</v>
      </c>
      <c r="B9" t="s">
        <v>2</v>
      </c>
      <c r="C9" t="s">
        <v>7</v>
      </c>
      <c r="D9" t="s">
        <v>4</v>
      </c>
      <c r="E9">
        <v>0.5</v>
      </c>
      <c r="H9" s="5" t="str">
        <f t="shared" si="0"/>
        <v>AUD#AUD AONIA#Yield#0.5</v>
      </c>
      <c r="I9">
        <v>66439.068585257759</v>
      </c>
      <c r="BB9" s="6"/>
    </row>
    <row r="10" spans="1:54">
      <c r="A10" t="s">
        <v>1</v>
      </c>
      <c r="B10" t="s">
        <v>2</v>
      </c>
      <c r="C10" t="s">
        <v>12</v>
      </c>
      <c r="D10" t="s">
        <v>4</v>
      </c>
      <c r="E10">
        <v>1</v>
      </c>
      <c r="H10" s="5" t="str">
        <f t="shared" si="0"/>
        <v>AUD#AUD :STD#Yield#1</v>
      </c>
      <c r="I10">
        <v>-2.5724394843074972E-9</v>
      </c>
      <c r="BB10" s="6"/>
    </row>
    <row r="11" spans="1:54">
      <c r="A11" t="s">
        <v>1</v>
      </c>
      <c r="B11" t="s">
        <v>2</v>
      </c>
      <c r="C11" t="s">
        <v>12</v>
      </c>
      <c r="D11" t="s">
        <v>4</v>
      </c>
      <c r="E11">
        <v>2</v>
      </c>
      <c r="H11" s="5" t="str">
        <f t="shared" si="0"/>
        <v>AUD#AUD :STD#Yield#2</v>
      </c>
      <c r="I11">
        <v>0</v>
      </c>
      <c r="BB11" s="6"/>
    </row>
    <row r="12" spans="1:54">
      <c r="A12" t="s">
        <v>1</v>
      </c>
      <c r="B12" t="s">
        <v>2</v>
      </c>
      <c r="C12" t="s">
        <v>12</v>
      </c>
      <c r="D12" t="s">
        <v>4</v>
      </c>
      <c r="E12">
        <v>0.25</v>
      </c>
      <c r="H12" s="5" t="str">
        <f t="shared" si="0"/>
        <v>AUD#AUD :STD#Yield#0.25</v>
      </c>
      <c r="I12">
        <v>8.304439935223262E-7</v>
      </c>
      <c r="BB12" s="6"/>
    </row>
    <row r="13" spans="1:54">
      <c r="A13" t="s">
        <v>1</v>
      </c>
      <c r="B13" t="s">
        <v>2</v>
      </c>
      <c r="C13" t="s">
        <v>12</v>
      </c>
      <c r="D13" t="s">
        <v>4</v>
      </c>
      <c r="E13">
        <v>3</v>
      </c>
      <c r="H13" s="5" t="str">
        <f t="shared" si="0"/>
        <v>AUD#AUD :STD#Yield#3</v>
      </c>
      <c r="I13">
        <v>0</v>
      </c>
      <c r="BB13" s="6"/>
    </row>
    <row r="14" spans="1:54">
      <c r="A14" t="s">
        <v>1</v>
      </c>
      <c r="B14" t="s">
        <v>2</v>
      </c>
      <c r="C14" t="s">
        <v>12</v>
      </c>
      <c r="D14" t="s">
        <v>4</v>
      </c>
      <c r="E14">
        <v>0.5</v>
      </c>
      <c r="H14" s="5" t="str">
        <f t="shared" si="0"/>
        <v>AUD#AUD :STD#Yield#0.5</v>
      </c>
      <c r="I14">
        <v>0.55043438056192995</v>
      </c>
      <c r="BB14" s="6"/>
    </row>
    <row r="15" spans="1:54">
      <c r="A15" t="s">
        <v>1</v>
      </c>
      <c r="B15" t="s">
        <v>2</v>
      </c>
      <c r="C15" t="s">
        <v>7</v>
      </c>
      <c r="D15" t="s">
        <v>4</v>
      </c>
      <c r="E15">
        <v>1</v>
      </c>
      <c r="H15" s="5" t="str">
        <f t="shared" si="0"/>
        <v>AUD#AUD AONIA#Yield#1</v>
      </c>
      <c r="I15">
        <v>646923.75491791964</v>
      </c>
      <c r="BB15" s="6"/>
    </row>
    <row r="16" spans="1:54">
      <c r="A16" t="s">
        <v>1</v>
      </c>
      <c r="B16" t="s">
        <v>2</v>
      </c>
      <c r="C16" t="s">
        <v>12</v>
      </c>
      <c r="D16" t="s">
        <v>4</v>
      </c>
      <c r="E16">
        <v>5</v>
      </c>
      <c r="H16" s="5" t="str">
        <f t="shared" si="0"/>
        <v>AUD#AUD :STD#Yield#5</v>
      </c>
      <c r="I16">
        <v>0</v>
      </c>
      <c r="BB16" s="6"/>
    </row>
    <row r="17" spans="1:54">
      <c r="A17" t="s">
        <v>1</v>
      </c>
      <c r="B17" t="s">
        <v>2</v>
      </c>
      <c r="C17" t="s">
        <v>7</v>
      </c>
      <c r="D17" t="s">
        <v>4</v>
      </c>
      <c r="E17">
        <v>5</v>
      </c>
      <c r="H17" s="5" t="str">
        <f t="shared" si="0"/>
        <v>AUD#AUD AONIA#Yield#5</v>
      </c>
      <c r="I17">
        <v>1766356.8065767852</v>
      </c>
      <c r="BB17" s="6"/>
    </row>
    <row r="18" spans="1:54">
      <c r="A18" t="s">
        <v>1</v>
      </c>
      <c r="B18" t="s">
        <v>2</v>
      </c>
      <c r="C18" t="s">
        <v>7</v>
      </c>
      <c r="D18" t="s">
        <v>4</v>
      </c>
      <c r="E18">
        <v>10</v>
      </c>
      <c r="H18" s="5" t="str">
        <f t="shared" si="0"/>
        <v>AUD#AUD AONIA#Yield#10</v>
      </c>
      <c r="I18">
        <v>-3835423.8431377509</v>
      </c>
      <c r="BB18" s="6"/>
    </row>
    <row r="19" spans="1:54">
      <c r="A19" t="s">
        <v>1</v>
      </c>
      <c r="B19" t="s">
        <v>2</v>
      </c>
      <c r="C19" t="s">
        <v>13</v>
      </c>
      <c r="D19" t="s">
        <v>4</v>
      </c>
      <c r="E19">
        <v>10</v>
      </c>
      <c r="H19" s="5" t="str">
        <f t="shared" si="0"/>
        <v>AUD#AUD BBSW 6M#Yield#10</v>
      </c>
      <c r="I19">
        <v>87490117.078127697</v>
      </c>
      <c r="BB19" s="6"/>
    </row>
    <row r="20" spans="1:54">
      <c r="A20" t="s">
        <v>1</v>
      </c>
      <c r="B20" t="s">
        <v>2</v>
      </c>
      <c r="C20" t="s">
        <v>13</v>
      </c>
      <c r="D20" t="s">
        <v>4</v>
      </c>
      <c r="E20">
        <v>1</v>
      </c>
      <c r="H20" s="5" t="str">
        <f t="shared" si="0"/>
        <v>AUD#AUD BBSW 6M#Yield#1</v>
      </c>
      <c r="I20">
        <v>387466.10001692903</v>
      </c>
      <c r="BB20" s="6"/>
    </row>
    <row r="21" spans="1:54">
      <c r="A21" t="s">
        <v>1</v>
      </c>
      <c r="B21" t="s">
        <v>2</v>
      </c>
      <c r="C21" t="s">
        <v>13</v>
      </c>
      <c r="D21" t="s">
        <v>4</v>
      </c>
      <c r="E21">
        <v>2</v>
      </c>
      <c r="H21" s="5" t="str">
        <f t="shared" si="0"/>
        <v>AUD#AUD BBSW 6M#Yield#2</v>
      </c>
      <c r="I21">
        <v>52385808.851634592</v>
      </c>
      <c r="BB21" s="6"/>
    </row>
    <row r="22" spans="1:54">
      <c r="A22" t="s">
        <v>1</v>
      </c>
      <c r="B22" t="s">
        <v>2</v>
      </c>
      <c r="C22" t="s">
        <v>13</v>
      </c>
      <c r="D22" t="s">
        <v>4</v>
      </c>
      <c r="E22">
        <v>0.25</v>
      </c>
      <c r="H22" s="5" t="str">
        <f t="shared" si="0"/>
        <v>AUD#AUD BBSW 6M#Yield#0.25</v>
      </c>
      <c r="I22">
        <v>4985652.5917488318</v>
      </c>
      <c r="BB22" s="6"/>
    </row>
    <row r="23" spans="1:54">
      <c r="A23" t="s">
        <v>1</v>
      </c>
      <c r="B23" t="s">
        <v>2</v>
      </c>
      <c r="C23" t="s">
        <v>13</v>
      </c>
      <c r="D23" t="s">
        <v>4</v>
      </c>
      <c r="E23">
        <v>3</v>
      </c>
      <c r="H23" s="5" t="str">
        <f t="shared" si="0"/>
        <v>AUD#AUD BBSW 6M#Yield#3</v>
      </c>
      <c r="I23">
        <v>-34484304.010344937</v>
      </c>
      <c r="BB23" s="6"/>
    </row>
    <row r="24" spans="1:54">
      <c r="A24" t="s">
        <v>1</v>
      </c>
      <c r="B24" t="s">
        <v>2</v>
      </c>
      <c r="C24" t="s">
        <v>13</v>
      </c>
      <c r="D24" t="s">
        <v>4</v>
      </c>
      <c r="E24">
        <v>5</v>
      </c>
      <c r="H24" s="5" t="str">
        <f t="shared" si="0"/>
        <v>AUD#AUD BBSW 6M#Yield#5</v>
      </c>
      <c r="I24">
        <v>-78364344.996818885</v>
      </c>
    </row>
    <row r="25" spans="1:54">
      <c r="A25" t="s">
        <v>1</v>
      </c>
      <c r="B25" t="s">
        <v>2</v>
      </c>
      <c r="C25" t="s">
        <v>13</v>
      </c>
      <c r="D25" t="s">
        <v>4</v>
      </c>
      <c r="E25">
        <v>0.5</v>
      </c>
      <c r="H25" s="5" t="str">
        <f t="shared" si="0"/>
        <v>AUD#AUD BBSW 6M#Yield#0.5</v>
      </c>
      <c r="I25">
        <v>418347.6647158275</v>
      </c>
    </row>
    <row r="26" spans="1:54">
      <c r="A26" t="s">
        <v>1</v>
      </c>
      <c r="B26" t="str">
        <f t="shared" ref="B26:B89" si="1">LEFT(C26,3)</f>
        <v>CAD</v>
      </c>
      <c r="C26" t="s">
        <v>14</v>
      </c>
      <c r="D26" t="s">
        <v>4</v>
      </c>
      <c r="E26">
        <v>0.25</v>
      </c>
      <c r="H26" s="5" t="str">
        <f t="shared" si="0"/>
        <v>CAD#CAD FX ARR#Yield#0.25</v>
      </c>
      <c r="I26">
        <v>-8712664.7660721149</v>
      </c>
    </row>
    <row r="27" spans="1:54">
      <c r="A27" t="s">
        <v>1</v>
      </c>
      <c r="B27" t="str">
        <f t="shared" si="1"/>
        <v>CAD</v>
      </c>
      <c r="C27" t="s">
        <v>14</v>
      </c>
      <c r="D27" t="s">
        <v>4</v>
      </c>
      <c r="E27">
        <v>0.5</v>
      </c>
      <c r="H27" s="5" t="str">
        <f t="shared" si="0"/>
        <v>CAD#CAD FX ARR#Yield#0.5</v>
      </c>
      <c r="I27">
        <v>-20318796.542749926</v>
      </c>
    </row>
    <row r="28" spans="1:54">
      <c r="A28" t="s">
        <v>1</v>
      </c>
      <c r="B28" t="str">
        <f t="shared" si="1"/>
        <v>CAD</v>
      </c>
      <c r="C28" t="s">
        <v>14</v>
      </c>
      <c r="D28" t="s">
        <v>6</v>
      </c>
      <c r="E28" s="7">
        <v>0</v>
      </c>
      <c r="H28" s="5" t="str">
        <f t="shared" si="0"/>
        <v>CAD#CAD FX ARR#XCCY#0</v>
      </c>
      <c r="I28">
        <v>-37100793.398611657</v>
      </c>
    </row>
    <row r="29" spans="1:54">
      <c r="A29" t="s">
        <v>1</v>
      </c>
      <c r="B29" t="str">
        <f t="shared" si="1"/>
        <v>CAD</v>
      </c>
      <c r="C29" t="s">
        <v>14</v>
      </c>
      <c r="D29" t="s">
        <v>4</v>
      </c>
      <c r="E29">
        <v>1</v>
      </c>
      <c r="H29" s="5" t="str">
        <f t="shared" si="0"/>
        <v>CAD#CAD FX ARR#Yield#1</v>
      </c>
      <c r="I29">
        <v>-8069332.0897769565</v>
      </c>
    </row>
    <row r="30" spans="1:54">
      <c r="A30" t="s">
        <v>1</v>
      </c>
      <c r="B30" t="str">
        <f t="shared" si="1"/>
        <v>CNH</v>
      </c>
      <c r="C30" t="s">
        <v>15</v>
      </c>
      <c r="D30" t="s">
        <v>4</v>
      </c>
      <c r="E30">
        <v>0.25</v>
      </c>
      <c r="H30" s="5" t="str">
        <f t="shared" si="0"/>
        <v>CNH#CNH HIBOR 3M#Yield#0.25</v>
      </c>
      <c r="I30">
        <v>-0.57992488505346151</v>
      </c>
    </row>
    <row r="31" spans="1:54">
      <c r="A31" t="s">
        <v>1</v>
      </c>
      <c r="B31" t="str">
        <f t="shared" si="1"/>
        <v>CNH</v>
      </c>
      <c r="C31" t="s">
        <v>15</v>
      </c>
      <c r="D31" t="s">
        <v>4</v>
      </c>
      <c r="E31">
        <v>0.5</v>
      </c>
      <c r="H31" s="5" t="str">
        <f t="shared" si="0"/>
        <v>CNH#CNH HIBOR 3M#Yield#0.5</v>
      </c>
      <c r="I31">
        <v>1.9717197437250218</v>
      </c>
    </row>
    <row r="32" spans="1:54">
      <c r="A32" t="s">
        <v>1</v>
      </c>
      <c r="B32" t="str">
        <f t="shared" si="1"/>
        <v>CNH</v>
      </c>
      <c r="C32" t="s">
        <v>15</v>
      </c>
      <c r="D32" t="s">
        <v>4</v>
      </c>
      <c r="E32">
        <v>3</v>
      </c>
      <c r="H32" s="5" t="str">
        <f t="shared" si="0"/>
        <v>CNH#CNH HIBOR 3M#Yield#3</v>
      </c>
      <c r="I32">
        <v>0.46393678834040958</v>
      </c>
    </row>
    <row r="33" spans="1:9">
      <c r="A33" t="s">
        <v>1</v>
      </c>
      <c r="B33" t="str">
        <f t="shared" si="1"/>
        <v>CNH</v>
      </c>
      <c r="C33" t="s">
        <v>15</v>
      </c>
      <c r="D33" t="s">
        <v>4</v>
      </c>
      <c r="E33">
        <v>5</v>
      </c>
      <c r="H33" s="5" t="str">
        <f t="shared" si="0"/>
        <v>CNH#CNH HIBOR 3M#Yield#5</v>
      </c>
      <c r="I33">
        <v>0.69592520594596863</v>
      </c>
    </row>
    <row r="34" spans="1:9">
      <c r="A34" t="s">
        <v>1</v>
      </c>
      <c r="B34" t="str">
        <f t="shared" si="1"/>
        <v>CNH</v>
      </c>
      <c r="C34" t="s">
        <v>15</v>
      </c>
      <c r="D34" t="s">
        <v>4</v>
      </c>
      <c r="E34">
        <v>1</v>
      </c>
      <c r="H34" s="5" t="str">
        <f t="shared" si="0"/>
        <v>CNH#CNH HIBOR 3M#Yield#1</v>
      </c>
      <c r="I34">
        <v>1.1598371838772437</v>
      </c>
    </row>
    <row r="35" spans="1:9">
      <c r="A35" t="s">
        <v>1</v>
      </c>
      <c r="B35" t="str">
        <f t="shared" si="1"/>
        <v>CNH</v>
      </c>
      <c r="C35" t="s">
        <v>15</v>
      </c>
      <c r="D35" t="s">
        <v>4</v>
      </c>
      <c r="E35">
        <v>2</v>
      </c>
      <c r="H35" s="5" t="str">
        <f t="shared" si="0"/>
        <v>CNH#CNH HIBOR 3M#Yield#2</v>
      </c>
      <c r="I35">
        <v>-0.1159667825469604</v>
      </c>
    </row>
    <row r="36" spans="1:9">
      <c r="A36" t="s">
        <v>1</v>
      </c>
      <c r="B36" t="str">
        <f t="shared" si="1"/>
        <v>CNH</v>
      </c>
      <c r="C36" t="s">
        <v>16</v>
      </c>
      <c r="D36" t="s">
        <v>4</v>
      </c>
      <c r="E36">
        <v>0.25</v>
      </c>
      <c r="H36" s="5" t="str">
        <f t="shared" si="0"/>
        <v>CNH#CNH :Std#Yield#0.25</v>
      </c>
      <c r="I36">
        <v>-7464830.0937640741</v>
      </c>
    </row>
    <row r="37" spans="1:9">
      <c r="A37" t="s">
        <v>1</v>
      </c>
      <c r="B37" t="str">
        <f t="shared" si="1"/>
        <v>CNH</v>
      </c>
      <c r="C37" t="s">
        <v>17</v>
      </c>
      <c r="D37" t="s">
        <v>4</v>
      </c>
      <c r="E37">
        <v>2</v>
      </c>
      <c r="H37" s="5" t="str">
        <f t="shared" si="0"/>
        <v>CNH#CNH FX OIS#Yield#2</v>
      </c>
      <c r="I37">
        <v>-642893031.20942521</v>
      </c>
    </row>
    <row r="38" spans="1:9">
      <c r="A38" t="s">
        <v>1</v>
      </c>
      <c r="B38" t="str">
        <f t="shared" si="1"/>
        <v>CNH</v>
      </c>
      <c r="C38" t="s">
        <v>17</v>
      </c>
      <c r="D38" t="s">
        <v>6</v>
      </c>
      <c r="E38" s="7">
        <v>0</v>
      </c>
      <c r="H38" s="5" t="str">
        <f t="shared" si="0"/>
        <v>CNH#CNH FX OIS#XCCY#0</v>
      </c>
      <c r="I38">
        <v>-86828465.725148037</v>
      </c>
    </row>
    <row r="39" spans="1:9">
      <c r="A39" t="s">
        <v>1</v>
      </c>
      <c r="B39" t="str">
        <f t="shared" si="1"/>
        <v>CNH</v>
      </c>
      <c r="C39" t="s">
        <v>17</v>
      </c>
      <c r="D39" t="s">
        <v>4</v>
      </c>
      <c r="E39">
        <v>0.25</v>
      </c>
      <c r="H39" s="5" t="str">
        <f t="shared" si="0"/>
        <v>CNH#CNH FX OIS#Yield#0.25</v>
      </c>
      <c r="I39">
        <v>228755775.81662416</v>
      </c>
    </row>
    <row r="40" spans="1:9">
      <c r="A40" t="s">
        <v>1</v>
      </c>
      <c r="B40" t="str">
        <f t="shared" si="1"/>
        <v>CNH</v>
      </c>
      <c r="C40" t="s">
        <v>17</v>
      </c>
      <c r="D40" t="s">
        <v>4</v>
      </c>
      <c r="E40">
        <v>3</v>
      </c>
      <c r="H40" s="5" t="str">
        <f t="shared" si="0"/>
        <v>CNH#CNH FX OIS#Yield#3</v>
      </c>
      <c r="I40">
        <v>78984283.042500943</v>
      </c>
    </row>
    <row r="41" spans="1:9">
      <c r="A41" t="s">
        <v>1</v>
      </c>
      <c r="B41" t="str">
        <f t="shared" si="1"/>
        <v>CNH</v>
      </c>
      <c r="C41" t="s">
        <v>17</v>
      </c>
      <c r="D41" t="s">
        <v>4</v>
      </c>
      <c r="E41">
        <v>1</v>
      </c>
      <c r="H41" s="5" t="str">
        <f t="shared" si="0"/>
        <v>CNH#CNH FX OIS#Yield#1</v>
      </c>
      <c r="I41">
        <v>572392214.531515</v>
      </c>
    </row>
    <row r="42" spans="1:9">
      <c r="A42" t="s">
        <v>1</v>
      </c>
      <c r="B42" t="str">
        <f t="shared" si="1"/>
        <v>CNH</v>
      </c>
      <c r="C42" t="s">
        <v>17</v>
      </c>
      <c r="D42" t="s">
        <v>4</v>
      </c>
      <c r="E42">
        <v>0.5</v>
      </c>
      <c r="H42" s="5" t="str">
        <f t="shared" si="0"/>
        <v>CNH#CNH FX OIS#Yield#0.5</v>
      </c>
      <c r="I42">
        <v>-707028888.72160125</v>
      </c>
    </row>
    <row r="43" spans="1:9">
      <c r="A43" t="s">
        <v>1</v>
      </c>
      <c r="B43" t="str">
        <f t="shared" si="1"/>
        <v>CNH</v>
      </c>
      <c r="C43" t="s">
        <v>15</v>
      </c>
      <c r="D43" t="s">
        <v>4</v>
      </c>
      <c r="E43">
        <v>10</v>
      </c>
      <c r="H43" s="5" t="str">
        <f t="shared" si="0"/>
        <v>CNH#CNH HIBOR 3M#Yield#10</v>
      </c>
      <c r="I43">
        <v>0.11598894541913814</v>
      </c>
    </row>
    <row r="44" spans="1:9">
      <c r="A44" t="s">
        <v>1</v>
      </c>
      <c r="B44" t="str">
        <f t="shared" si="1"/>
        <v>CNH</v>
      </c>
      <c r="C44" t="s">
        <v>15</v>
      </c>
      <c r="D44" t="s">
        <v>4</v>
      </c>
      <c r="E44">
        <v>15</v>
      </c>
      <c r="H44" s="5" t="str">
        <f t="shared" si="0"/>
        <v>CNH#CNH HIBOR 3M#Yield#15</v>
      </c>
      <c r="I44">
        <v>8.4665688601407149E-8</v>
      </c>
    </row>
    <row r="45" spans="1:9">
      <c r="A45" t="s">
        <v>1</v>
      </c>
      <c r="B45" t="str">
        <f t="shared" si="1"/>
        <v>CNH</v>
      </c>
      <c r="C45" t="s">
        <v>18</v>
      </c>
      <c r="D45" t="s">
        <v>4</v>
      </c>
      <c r="E45">
        <v>10</v>
      </c>
      <c r="H45" s="5" t="str">
        <f t="shared" si="0"/>
        <v>CNH#CNH 1 GOV#Yield#10</v>
      </c>
      <c r="I45">
        <v>0.57987784120169561</v>
      </c>
    </row>
    <row r="46" spans="1:9">
      <c r="A46" t="s">
        <v>1</v>
      </c>
      <c r="B46" t="str">
        <f t="shared" si="1"/>
        <v>CNH</v>
      </c>
      <c r="C46" t="s">
        <v>18</v>
      </c>
      <c r="D46" t="s">
        <v>4</v>
      </c>
      <c r="E46">
        <v>1</v>
      </c>
      <c r="H46" s="5" t="str">
        <f t="shared" si="0"/>
        <v>CNH#CNH 1 GOV#Yield#1</v>
      </c>
      <c r="I46">
        <v>0.34795087412931025</v>
      </c>
    </row>
    <row r="47" spans="1:9">
      <c r="A47" t="s">
        <v>1</v>
      </c>
      <c r="B47" t="str">
        <f t="shared" si="1"/>
        <v>CNH</v>
      </c>
      <c r="C47" t="s">
        <v>18</v>
      </c>
      <c r="D47" t="s">
        <v>4</v>
      </c>
      <c r="E47">
        <v>2</v>
      </c>
      <c r="H47" s="5" t="str">
        <f t="shared" si="0"/>
        <v>CNH#CNH 1 GOV#Yield#2</v>
      </c>
      <c r="I47">
        <v>-3.4795641863288789</v>
      </c>
    </row>
    <row r="48" spans="1:9">
      <c r="A48" t="s">
        <v>1</v>
      </c>
      <c r="B48" t="str">
        <f t="shared" si="1"/>
        <v>CNH</v>
      </c>
      <c r="C48" t="s">
        <v>18</v>
      </c>
      <c r="D48" t="s">
        <v>4</v>
      </c>
      <c r="E48">
        <v>3</v>
      </c>
      <c r="H48" s="5" t="str">
        <f t="shared" si="0"/>
        <v>CNH#CNH 1 GOV#Yield#3</v>
      </c>
      <c r="I48">
        <v>0.9278574725612998</v>
      </c>
    </row>
    <row r="49" spans="1:9">
      <c r="A49" t="s">
        <v>1</v>
      </c>
      <c r="B49" t="str">
        <f t="shared" si="1"/>
        <v>CNH</v>
      </c>
      <c r="C49" t="s">
        <v>18</v>
      </c>
      <c r="D49" t="s">
        <v>4</v>
      </c>
      <c r="E49">
        <v>5</v>
      </c>
      <c r="H49" s="5" t="str">
        <f t="shared" si="0"/>
        <v>CNH#CNH 1 GOV#Yield#5</v>
      </c>
      <c r="I49">
        <v>-0.23202983323823323</v>
      </c>
    </row>
    <row r="50" spans="1:9">
      <c r="A50" t="s">
        <v>1</v>
      </c>
      <c r="B50" t="str">
        <f t="shared" si="1"/>
        <v>CNH</v>
      </c>
      <c r="C50" t="s">
        <v>18</v>
      </c>
      <c r="D50" t="s">
        <v>4</v>
      </c>
      <c r="E50">
        <v>0.5</v>
      </c>
      <c r="H50" s="5" t="str">
        <f t="shared" si="0"/>
        <v>CNH#CNH 1 GOV#Yield#0.5</v>
      </c>
      <c r="I50">
        <v>1.275815231458503</v>
      </c>
    </row>
    <row r="51" spans="1:9">
      <c r="A51" t="s">
        <v>1</v>
      </c>
      <c r="B51" t="str">
        <f t="shared" si="1"/>
        <v>CNH</v>
      </c>
      <c r="C51" t="s">
        <v>15</v>
      </c>
      <c r="D51" t="s">
        <v>4</v>
      </c>
      <c r="E51">
        <v>20</v>
      </c>
      <c r="H51" s="5" t="str">
        <f t="shared" si="0"/>
        <v>CNH#CNH HIBOR 3M#Yield#20</v>
      </c>
      <c r="I51">
        <v>0</v>
      </c>
    </row>
    <row r="52" spans="1:9">
      <c r="A52" t="s">
        <v>1</v>
      </c>
      <c r="B52" t="str">
        <f t="shared" si="1"/>
        <v>CNH</v>
      </c>
      <c r="C52" t="s">
        <v>15</v>
      </c>
      <c r="D52" t="s">
        <v>4</v>
      </c>
      <c r="E52">
        <v>30</v>
      </c>
      <c r="H52" s="5" t="str">
        <f t="shared" si="0"/>
        <v>CNH#CNH HIBOR 3M#Yield#30</v>
      </c>
      <c r="I52">
        <v>0</v>
      </c>
    </row>
    <row r="53" spans="1:9">
      <c r="A53" t="s">
        <v>1</v>
      </c>
      <c r="B53" t="str">
        <f t="shared" si="1"/>
        <v>CNH</v>
      </c>
      <c r="C53" t="s">
        <v>17</v>
      </c>
      <c r="D53" t="s">
        <v>4</v>
      </c>
      <c r="E53">
        <v>5</v>
      </c>
      <c r="H53" s="5" t="str">
        <f t="shared" si="0"/>
        <v>CNH#CNH FX OIS#Yield#5</v>
      </c>
      <c r="I53">
        <v>482205334.06242174</v>
      </c>
    </row>
    <row r="54" spans="1:9">
      <c r="A54" t="s">
        <v>1</v>
      </c>
      <c r="B54" t="str">
        <f t="shared" si="1"/>
        <v>CNH</v>
      </c>
      <c r="C54" t="s">
        <v>17</v>
      </c>
      <c r="D54" t="s">
        <v>4</v>
      </c>
      <c r="E54">
        <v>10</v>
      </c>
      <c r="H54" s="5" t="str">
        <f t="shared" si="0"/>
        <v>CNH#CNH FX OIS#Yield#10</v>
      </c>
      <c r="I54">
        <v>-99244155.566791847</v>
      </c>
    </row>
    <row r="55" spans="1:9">
      <c r="A55" t="s">
        <v>1</v>
      </c>
      <c r="B55" t="str">
        <f t="shared" si="1"/>
        <v>CNH</v>
      </c>
      <c r="C55" t="s">
        <v>18</v>
      </c>
      <c r="D55" t="s">
        <v>4</v>
      </c>
      <c r="E55">
        <v>15</v>
      </c>
      <c r="H55" s="5" t="str">
        <f t="shared" si="0"/>
        <v>CNH#CNH 1 GOV#Yield#15</v>
      </c>
      <c r="I55">
        <v>-0.11598002377220176</v>
      </c>
    </row>
    <row r="56" spans="1:9">
      <c r="A56" t="s">
        <v>1</v>
      </c>
      <c r="B56" t="str">
        <f t="shared" si="1"/>
        <v>CNH</v>
      </c>
      <c r="C56" t="s">
        <v>18</v>
      </c>
      <c r="D56" t="s">
        <v>4</v>
      </c>
      <c r="E56">
        <v>0.25</v>
      </c>
      <c r="H56" s="5" t="str">
        <f t="shared" si="0"/>
        <v>CNH#CNH 1 GOV#Yield#0.25</v>
      </c>
      <c r="I56">
        <v>0.11598472337936981</v>
      </c>
    </row>
    <row r="57" spans="1:9">
      <c r="A57" t="s">
        <v>1</v>
      </c>
      <c r="B57" t="str">
        <f t="shared" si="1"/>
        <v>CNH</v>
      </c>
      <c r="C57" t="s">
        <v>18</v>
      </c>
      <c r="D57" t="s">
        <v>4</v>
      </c>
      <c r="E57">
        <v>30</v>
      </c>
      <c r="H57" s="5" t="str">
        <f t="shared" si="0"/>
        <v>CNH#CNH 1 GOV#Yield#30</v>
      </c>
      <c r="I57">
        <v>-0.81187181852080614</v>
      </c>
    </row>
    <row r="58" spans="1:9">
      <c r="A58" t="s">
        <v>1</v>
      </c>
      <c r="B58" t="str">
        <f t="shared" si="1"/>
        <v>CNH</v>
      </c>
      <c r="C58" t="s">
        <v>18</v>
      </c>
      <c r="D58" t="s">
        <v>4</v>
      </c>
      <c r="E58">
        <v>20</v>
      </c>
      <c r="H58" s="5" t="str">
        <f t="shared" si="0"/>
        <v>CNH#CNH 1 GOV#Yield#20</v>
      </c>
      <c r="I58">
        <v>0.1159987243061716</v>
      </c>
    </row>
    <row r="59" spans="1:9">
      <c r="A59" t="s">
        <v>1</v>
      </c>
      <c r="B59" t="str">
        <f t="shared" si="1"/>
        <v>CNY</v>
      </c>
      <c r="C59" t="s">
        <v>19</v>
      </c>
      <c r="D59" t="s">
        <v>4</v>
      </c>
      <c r="E59">
        <v>0.25</v>
      </c>
      <c r="H59" s="5" t="str">
        <f t="shared" si="0"/>
        <v>CNY#CNY FXR#Yield#0.25</v>
      </c>
      <c r="I59">
        <v>-5587551.9574070564</v>
      </c>
    </row>
    <row r="60" spans="1:9">
      <c r="A60" t="s">
        <v>1</v>
      </c>
      <c r="B60" t="str">
        <f t="shared" si="1"/>
        <v>CNY</v>
      </c>
      <c r="C60" t="s">
        <v>19</v>
      </c>
      <c r="D60" t="s">
        <v>6</v>
      </c>
      <c r="E60" s="7">
        <v>0</v>
      </c>
      <c r="H60" s="5" t="str">
        <f t="shared" si="0"/>
        <v>CNY#CNY FXR#XCCY#0</v>
      </c>
      <c r="I60">
        <v>-45033087.383951098</v>
      </c>
    </row>
    <row r="61" spans="1:9">
      <c r="A61" t="s">
        <v>1</v>
      </c>
      <c r="B61" t="str">
        <f t="shared" si="1"/>
        <v>CNY</v>
      </c>
      <c r="C61" t="s">
        <v>19</v>
      </c>
      <c r="D61" t="s">
        <v>4</v>
      </c>
      <c r="E61">
        <v>0.5</v>
      </c>
      <c r="H61" s="5" t="str">
        <f t="shared" si="0"/>
        <v>CNY#CNY FXR#Yield#0.5</v>
      </c>
      <c r="I61">
        <v>-3088741.4349199864</v>
      </c>
    </row>
    <row r="62" spans="1:9">
      <c r="A62" t="s">
        <v>1</v>
      </c>
      <c r="B62" t="str">
        <f t="shared" si="1"/>
        <v>CNY</v>
      </c>
      <c r="C62" t="s">
        <v>19</v>
      </c>
      <c r="D62" t="s">
        <v>4</v>
      </c>
      <c r="E62">
        <v>1</v>
      </c>
      <c r="H62" s="5" t="str">
        <f t="shared" si="0"/>
        <v>CNY#CNY FXR#Yield#1</v>
      </c>
      <c r="I62">
        <v>-1002673.4739956358</v>
      </c>
    </row>
    <row r="63" spans="1:9">
      <c r="A63" t="s">
        <v>1</v>
      </c>
      <c r="B63" t="str">
        <f t="shared" si="1"/>
        <v>CNY</v>
      </c>
      <c r="C63" t="s">
        <v>20</v>
      </c>
      <c r="D63" t="s">
        <v>4</v>
      </c>
      <c r="E63">
        <v>0.25</v>
      </c>
      <c r="H63" s="5" t="str">
        <f t="shared" si="0"/>
        <v>CNY#CNY 7D REPO#Yield#0.25</v>
      </c>
      <c r="I63">
        <v>1195446608.0636106</v>
      </c>
    </row>
    <row r="64" spans="1:9">
      <c r="A64" t="s">
        <v>1</v>
      </c>
      <c r="B64" t="str">
        <f t="shared" si="1"/>
        <v>CNY</v>
      </c>
      <c r="C64" t="s">
        <v>19</v>
      </c>
      <c r="D64" t="s">
        <v>4</v>
      </c>
      <c r="E64">
        <v>3</v>
      </c>
      <c r="H64" s="5" t="str">
        <f t="shared" si="0"/>
        <v>CNY#CNY FXR#Yield#3</v>
      </c>
      <c r="I64">
        <v>-7602816.7295326283</v>
      </c>
    </row>
    <row r="65" spans="1:9">
      <c r="A65" t="s">
        <v>1</v>
      </c>
      <c r="B65" t="str">
        <f t="shared" si="1"/>
        <v>CNY</v>
      </c>
      <c r="C65" t="s">
        <v>20</v>
      </c>
      <c r="D65" t="s">
        <v>4</v>
      </c>
      <c r="E65">
        <v>3</v>
      </c>
      <c r="H65" s="5" t="str">
        <f t="shared" si="0"/>
        <v>CNY#CNY 7D REPO#Yield#3</v>
      </c>
      <c r="I65">
        <v>-2443259860.809371</v>
      </c>
    </row>
    <row r="66" spans="1:9">
      <c r="A66" t="s">
        <v>1</v>
      </c>
      <c r="B66" t="str">
        <f t="shared" si="1"/>
        <v>CNY</v>
      </c>
      <c r="C66" t="s">
        <v>19</v>
      </c>
      <c r="D66" t="s">
        <v>4</v>
      </c>
      <c r="E66">
        <v>5</v>
      </c>
      <c r="H66" s="5" t="str">
        <f t="shared" ref="H66:H129" si="2">IF($A66="Delta",_xlfn.TEXTJOIN("#",TRUE,$B66:$E66),IF($A66="Vega",_xlfn.TEXTJOIN("#",TRUE,$B66,$E66,$F66),$B66))</f>
        <v>CNY#CNY FXR#Yield#5</v>
      </c>
      <c r="I66">
        <v>4957592.0064990586</v>
      </c>
    </row>
    <row r="67" spans="1:9">
      <c r="A67" t="s">
        <v>1</v>
      </c>
      <c r="B67" t="str">
        <f t="shared" si="1"/>
        <v>CNY</v>
      </c>
      <c r="C67" t="s">
        <v>20</v>
      </c>
      <c r="D67" t="s">
        <v>4</v>
      </c>
      <c r="E67">
        <v>5</v>
      </c>
      <c r="H67" s="5" t="str">
        <f t="shared" si="2"/>
        <v>CNY#CNY 7D REPO#Yield#5</v>
      </c>
      <c r="I67">
        <v>-2667056372.5890565</v>
      </c>
    </row>
    <row r="68" spans="1:9">
      <c r="A68" t="s">
        <v>1</v>
      </c>
      <c r="B68" t="str">
        <f t="shared" si="1"/>
        <v>CNY</v>
      </c>
      <c r="C68" t="s">
        <v>20</v>
      </c>
      <c r="D68" t="s">
        <v>4</v>
      </c>
      <c r="E68">
        <v>0.5</v>
      </c>
      <c r="H68" s="5" t="str">
        <f t="shared" si="2"/>
        <v>CNY#CNY 7D REPO#Yield#0.5</v>
      </c>
      <c r="I68">
        <v>1877778867.1954672</v>
      </c>
    </row>
    <row r="69" spans="1:9">
      <c r="A69" t="s">
        <v>1</v>
      </c>
      <c r="B69" t="str">
        <f t="shared" si="1"/>
        <v>CNY</v>
      </c>
      <c r="C69" t="s">
        <v>20</v>
      </c>
      <c r="D69" t="s">
        <v>4</v>
      </c>
      <c r="E69">
        <v>1</v>
      </c>
      <c r="H69" s="5" t="str">
        <f t="shared" si="2"/>
        <v>CNY#CNY 7D REPO#Yield#1</v>
      </c>
      <c r="I69">
        <v>-1053970396.3295242</v>
      </c>
    </row>
    <row r="70" spans="1:9">
      <c r="A70" t="s">
        <v>1</v>
      </c>
      <c r="B70" t="str">
        <f t="shared" si="1"/>
        <v>CNY</v>
      </c>
      <c r="C70" t="s">
        <v>19</v>
      </c>
      <c r="D70" t="s">
        <v>4</v>
      </c>
      <c r="E70">
        <v>2</v>
      </c>
      <c r="H70" s="5" t="str">
        <f t="shared" si="2"/>
        <v>CNY#CNY FXR#Yield#2</v>
      </c>
      <c r="I70">
        <v>-32701830.62520998</v>
      </c>
    </row>
    <row r="71" spans="1:9">
      <c r="A71" t="s">
        <v>1</v>
      </c>
      <c r="B71" t="str">
        <f t="shared" si="1"/>
        <v>CNY</v>
      </c>
      <c r="C71" t="s">
        <v>20</v>
      </c>
      <c r="D71" t="s">
        <v>4</v>
      </c>
      <c r="E71">
        <v>2</v>
      </c>
      <c r="H71" s="5" t="str">
        <f t="shared" si="2"/>
        <v>CNY#CNY 7D REPO#Yield#2</v>
      </c>
      <c r="I71">
        <v>-336193180.87610525</v>
      </c>
    </row>
    <row r="72" spans="1:9">
      <c r="A72" t="s">
        <v>1</v>
      </c>
      <c r="B72" t="str">
        <f t="shared" si="1"/>
        <v>CNY</v>
      </c>
      <c r="C72" t="s">
        <v>20</v>
      </c>
      <c r="D72" t="s">
        <v>4</v>
      </c>
      <c r="E72">
        <v>10</v>
      </c>
      <c r="H72" s="5" t="str">
        <f t="shared" si="2"/>
        <v>CNY#CNY 7D REPO#Yield#10</v>
      </c>
      <c r="I72">
        <v>8609818.7174218222</v>
      </c>
    </row>
    <row r="73" spans="1:9">
      <c r="A73" t="s">
        <v>1</v>
      </c>
      <c r="B73" t="str">
        <f t="shared" si="1"/>
        <v>CNY</v>
      </c>
      <c r="C73" t="s">
        <v>19</v>
      </c>
      <c r="D73" t="s">
        <v>4</v>
      </c>
      <c r="E73">
        <v>10</v>
      </c>
      <c r="H73" s="5" t="str">
        <f t="shared" si="2"/>
        <v>CNY#CNY FXR#Yield#10</v>
      </c>
      <c r="I73">
        <v>-7070.9693354545489</v>
      </c>
    </row>
    <row r="74" spans="1:9">
      <c r="A74" t="s">
        <v>1</v>
      </c>
      <c r="B74" t="str">
        <f t="shared" si="1"/>
        <v>CNY</v>
      </c>
      <c r="C74" t="s">
        <v>21</v>
      </c>
      <c r="D74" t="s">
        <v>4</v>
      </c>
      <c r="E74">
        <v>0.25</v>
      </c>
      <c r="H74" s="5" t="str">
        <f t="shared" si="2"/>
        <v>CNY#CNY SHIBOR 3M#Yield#0.25</v>
      </c>
      <c r="I74">
        <v>3461975.4468699996</v>
      </c>
    </row>
    <row r="75" spans="1:9">
      <c r="A75" t="s">
        <v>1</v>
      </c>
      <c r="B75" t="str">
        <f t="shared" si="1"/>
        <v>CNY</v>
      </c>
      <c r="C75" t="s">
        <v>21</v>
      </c>
      <c r="D75" t="s">
        <v>4</v>
      </c>
      <c r="E75">
        <v>0.5</v>
      </c>
      <c r="H75" s="5" t="str">
        <f t="shared" si="2"/>
        <v>CNY#CNY SHIBOR 3M#Yield#0.5</v>
      </c>
      <c r="I75">
        <v>3755759.3342147055</v>
      </c>
    </row>
    <row r="76" spans="1:9">
      <c r="A76" t="s">
        <v>1</v>
      </c>
      <c r="B76" t="str">
        <f t="shared" si="1"/>
        <v>EUR</v>
      </c>
      <c r="C76" t="s">
        <v>22</v>
      </c>
      <c r="D76" t="s">
        <v>4</v>
      </c>
      <c r="E76">
        <v>0.25</v>
      </c>
      <c r="H76" s="5" t="str">
        <f t="shared" si="2"/>
        <v>EUR#EUR :STD#Yield#0.25</v>
      </c>
      <c r="I76">
        <v>55.139257575636094</v>
      </c>
    </row>
    <row r="77" spans="1:9">
      <c r="A77" t="s">
        <v>1</v>
      </c>
      <c r="B77" t="str">
        <f t="shared" si="1"/>
        <v>EUR</v>
      </c>
      <c r="C77" t="s">
        <v>23</v>
      </c>
      <c r="D77" t="s">
        <v>4</v>
      </c>
      <c r="E77">
        <v>1</v>
      </c>
      <c r="H77" s="5" t="str">
        <f t="shared" si="2"/>
        <v>EUR#EUR ESTR#Yield#1</v>
      </c>
      <c r="I77">
        <v>-118852.24353807153</v>
      </c>
    </row>
    <row r="78" spans="1:9">
      <c r="A78" t="s">
        <v>1</v>
      </c>
      <c r="B78" t="str">
        <f t="shared" si="1"/>
        <v>EUR</v>
      </c>
      <c r="C78" t="s">
        <v>23</v>
      </c>
      <c r="D78" t="s">
        <v>4</v>
      </c>
      <c r="E78">
        <v>2</v>
      </c>
      <c r="H78" s="5" t="str">
        <f t="shared" si="2"/>
        <v>EUR#EUR ESTR#Yield#2</v>
      </c>
      <c r="I78">
        <v>-432629.39395935117</v>
      </c>
    </row>
    <row r="79" spans="1:9">
      <c r="A79" t="s">
        <v>1</v>
      </c>
      <c r="B79" t="str">
        <f t="shared" si="1"/>
        <v>EUR</v>
      </c>
      <c r="C79" t="s">
        <v>23</v>
      </c>
      <c r="D79" t="s">
        <v>4</v>
      </c>
      <c r="E79">
        <v>0.25</v>
      </c>
      <c r="H79" s="5" t="str">
        <f t="shared" si="2"/>
        <v>EUR#EUR ESTR#Yield#0.25</v>
      </c>
      <c r="I79">
        <v>-2044170.8750024</v>
      </c>
    </row>
    <row r="80" spans="1:9">
      <c r="A80" t="s">
        <v>1</v>
      </c>
      <c r="B80" t="str">
        <f t="shared" si="1"/>
        <v>EUR</v>
      </c>
      <c r="C80" t="s">
        <v>23</v>
      </c>
      <c r="D80" t="s">
        <v>4</v>
      </c>
      <c r="E80">
        <v>3</v>
      </c>
      <c r="H80" s="5" t="str">
        <f t="shared" si="2"/>
        <v>EUR#EUR ESTR#Yield#3</v>
      </c>
      <c r="I80">
        <v>128998.71505302355</v>
      </c>
    </row>
    <row r="81" spans="1:9">
      <c r="A81" t="s">
        <v>1</v>
      </c>
      <c r="B81" t="str">
        <f t="shared" si="1"/>
        <v>EUR</v>
      </c>
      <c r="C81" t="s">
        <v>23</v>
      </c>
      <c r="D81" t="s">
        <v>4</v>
      </c>
      <c r="E81">
        <v>0.5</v>
      </c>
      <c r="H81" s="5" t="str">
        <f t="shared" si="2"/>
        <v>EUR#EUR ESTR#Yield#0.5</v>
      </c>
      <c r="I81">
        <v>165402.50058410919</v>
      </c>
    </row>
    <row r="82" spans="1:9">
      <c r="A82" t="s">
        <v>1</v>
      </c>
      <c r="B82" t="str">
        <f t="shared" si="1"/>
        <v>EUR</v>
      </c>
      <c r="C82" t="s">
        <v>24</v>
      </c>
      <c r="D82" t="s">
        <v>4</v>
      </c>
      <c r="E82">
        <v>0.5</v>
      </c>
      <c r="H82" s="5" t="str">
        <f t="shared" si="2"/>
        <v>EUR#EUR FX ARR#Yield#0.5</v>
      </c>
      <c r="I82">
        <v>-1270419.5008078648</v>
      </c>
    </row>
    <row r="83" spans="1:9">
      <c r="A83" t="s">
        <v>1</v>
      </c>
      <c r="B83" t="str">
        <f t="shared" si="1"/>
        <v>EUR</v>
      </c>
      <c r="C83" t="s">
        <v>24</v>
      </c>
      <c r="D83" t="s">
        <v>6</v>
      </c>
      <c r="E83" s="7">
        <v>0</v>
      </c>
      <c r="H83" s="5" t="str">
        <f t="shared" si="2"/>
        <v>EUR#EUR FX ARR#XCCY#0</v>
      </c>
      <c r="I83">
        <v>18542398.881755266</v>
      </c>
    </row>
    <row r="84" spans="1:9">
      <c r="A84" t="s">
        <v>1</v>
      </c>
      <c r="B84" t="str">
        <f t="shared" si="1"/>
        <v>EUR</v>
      </c>
      <c r="C84" t="s">
        <v>24</v>
      </c>
      <c r="D84" t="s">
        <v>4</v>
      </c>
      <c r="E84">
        <v>0.25</v>
      </c>
      <c r="H84" s="5" t="str">
        <f t="shared" si="2"/>
        <v>EUR#EUR FX ARR#Yield#0.25</v>
      </c>
      <c r="I84">
        <v>29328098.95347264</v>
      </c>
    </row>
    <row r="85" spans="1:9">
      <c r="A85" t="s">
        <v>1</v>
      </c>
      <c r="B85" t="str">
        <f t="shared" si="1"/>
        <v>EUR</v>
      </c>
      <c r="C85" t="s">
        <v>24</v>
      </c>
      <c r="D85" t="s">
        <v>4</v>
      </c>
      <c r="E85">
        <v>1</v>
      </c>
      <c r="H85" s="5" t="str">
        <f t="shared" si="2"/>
        <v>EUR#EUR FX ARR#Yield#1</v>
      </c>
      <c r="I85">
        <v>-7585923.200969982</v>
      </c>
    </row>
    <row r="86" spans="1:9">
      <c r="A86" t="s">
        <v>1</v>
      </c>
      <c r="B86" t="str">
        <f t="shared" si="1"/>
        <v>EUR</v>
      </c>
      <c r="C86" t="s">
        <v>24</v>
      </c>
      <c r="D86" t="s">
        <v>4</v>
      </c>
      <c r="E86">
        <v>2</v>
      </c>
      <c r="H86" s="5" t="str">
        <f t="shared" si="2"/>
        <v>EUR#EUR FX ARR#Yield#2</v>
      </c>
      <c r="I86">
        <v>-1929358.2182355134</v>
      </c>
    </row>
    <row r="87" spans="1:9">
      <c r="A87" t="s">
        <v>1</v>
      </c>
      <c r="B87" t="str">
        <f t="shared" si="1"/>
        <v>EUR</v>
      </c>
      <c r="C87" t="s">
        <v>25</v>
      </c>
      <c r="D87" t="s">
        <v>4</v>
      </c>
      <c r="E87">
        <v>1</v>
      </c>
      <c r="H87" s="5" t="str">
        <f t="shared" si="2"/>
        <v>EUR#EUR EURIBOR 6M#Yield#1</v>
      </c>
      <c r="I87">
        <v>-10043.827670670635</v>
      </c>
    </row>
    <row r="88" spans="1:9">
      <c r="A88" t="s">
        <v>1</v>
      </c>
      <c r="B88" t="str">
        <f t="shared" si="1"/>
        <v>EUR</v>
      </c>
      <c r="C88" t="s">
        <v>25</v>
      </c>
      <c r="D88" t="s">
        <v>4</v>
      </c>
      <c r="E88">
        <v>2</v>
      </c>
      <c r="H88" s="5" t="str">
        <f t="shared" si="2"/>
        <v>EUR#EUR EURIBOR 6M#Yield#2</v>
      </c>
      <c r="I88">
        <v>-1796409.8358122488</v>
      </c>
    </row>
    <row r="89" spans="1:9">
      <c r="A89" t="s">
        <v>1</v>
      </c>
      <c r="B89" t="str">
        <f t="shared" si="1"/>
        <v>EUR</v>
      </c>
      <c r="C89" t="s">
        <v>25</v>
      </c>
      <c r="D89" t="s">
        <v>4</v>
      </c>
      <c r="E89">
        <v>0.25</v>
      </c>
      <c r="H89" s="5" t="str">
        <f t="shared" si="2"/>
        <v>EUR#EUR EURIBOR 6M#Yield#0.25</v>
      </c>
      <c r="I89">
        <v>-1390360.9567396829</v>
      </c>
    </row>
    <row r="90" spans="1:9">
      <c r="A90" t="s">
        <v>1</v>
      </c>
      <c r="B90" t="str">
        <f t="shared" ref="B90:B106" si="3">LEFT(C90,3)</f>
        <v>EUR</v>
      </c>
      <c r="C90" t="s">
        <v>25</v>
      </c>
      <c r="D90" t="s">
        <v>4</v>
      </c>
      <c r="E90">
        <v>3</v>
      </c>
      <c r="H90" s="5" t="str">
        <f t="shared" si="2"/>
        <v>EUR#EUR EURIBOR 6M#Yield#3</v>
      </c>
      <c r="I90">
        <v>3329229.4243000234</v>
      </c>
    </row>
    <row r="91" spans="1:9">
      <c r="A91" t="s">
        <v>1</v>
      </c>
      <c r="B91" t="str">
        <f t="shared" si="3"/>
        <v>EUR</v>
      </c>
      <c r="C91" t="s">
        <v>25</v>
      </c>
      <c r="D91" t="s">
        <v>4</v>
      </c>
      <c r="E91">
        <v>0.5</v>
      </c>
      <c r="H91" s="5" t="str">
        <f t="shared" si="2"/>
        <v>EUR#EUR EURIBOR 6M#Yield#0.5</v>
      </c>
      <c r="I91">
        <v>6663.3670905937488</v>
      </c>
    </row>
    <row r="92" spans="1:9">
      <c r="A92" t="s">
        <v>1</v>
      </c>
      <c r="B92" t="str">
        <f t="shared" si="3"/>
        <v>EUR</v>
      </c>
      <c r="C92" t="s">
        <v>23</v>
      </c>
      <c r="D92" t="s">
        <v>4</v>
      </c>
      <c r="E92">
        <v>10</v>
      </c>
      <c r="H92" s="5" t="str">
        <f t="shared" si="2"/>
        <v>EUR#EUR ESTR#Yield#10</v>
      </c>
      <c r="I92">
        <v>10299124.125656435</v>
      </c>
    </row>
    <row r="93" spans="1:9">
      <c r="A93" t="s">
        <v>1</v>
      </c>
      <c r="B93" t="str">
        <f t="shared" si="3"/>
        <v>EUR</v>
      </c>
      <c r="C93" t="s">
        <v>23</v>
      </c>
      <c r="D93" t="s">
        <v>4</v>
      </c>
      <c r="E93">
        <v>5</v>
      </c>
      <c r="H93" s="5" t="str">
        <f t="shared" si="2"/>
        <v>EUR#EUR ESTR#Yield#5</v>
      </c>
      <c r="I93">
        <v>85407150.779047444</v>
      </c>
    </row>
    <row r="94" spans="1:9">
      <c r="A94" t="s">
        <v>1</v>
      </c>
      <c r="B94" t="str">
        <f t="shared" si="3"/>
        <v>EUR</v>
      </c>
      <c r="C94" t="s">
        <v>26</v>
      </c>
      <c r="D94" t="s">
        <v>4</v>
      </c>
      <c r="E94">
        <v>1</v>
      </c>
      <c r="H94" s="5" t="str">
        <f t="shared" si="2"/>
        <v>EUR#EUR EURIBOR 3M#Yield#1</v>
      </c>
      <c r="I94">
        <v>0</v>
      </c>
    </row>
    <row r="95" spans="1:9">
      <c r="A95" t="s">
        <v>1</v>
      </c>
      <c r="B95" t="str">
        <f t="shared" si="3"/>
        <v>EUR</v>
      </c>
      <c r="C95" t="s">
        <v>26</v>
      </c>
      <c r="D95" t="s">
        <v>4</v>
      </c>
      <c r="E95">
        <v>2</v>
      </c>
      <c r="H95" s="5" t="str">
        <f t="shared" si="2"/>
        <v>EUR#EUR EURIBOR 3M#Yield#2</v>
      </c>
      <c r="I95">
        <v>0</v>
      </c>
    </row>
    <row r="96" spans="1:9">
      <c r="A96" t="s">
        <v>1</v>
      </c>
      <c r="B96" t="str">
        <f t="shared" si="3"/>
        <v>EUR</v>
      </c>
      <c r="C96" t="s">
        <v>26</v>
      </c>
      <c r="D96" t="s">
        <v>4</v>
      </c>
      <c r="E96">
        <v>0.25</v>
      </c>
      <c r="H96" s="5" t="str">
        <f t="shared" si="2"/>
        <v>EUR#EUR EURIBOR 3M#Yield#0.25</v>
      </c>
      <c r="I96">
        <v>0</v>
      </c>
    </row>
    <row r="97" spans="1:9">
      <c r="A97" t="s">
        <v>1</v>
      </c>
      <c r="B97" t="str">
        <f t="shared" si="3"/>
        <v>EUR</v>
      </c>
      <c r="C97" t="s">
        <v>26</v>
      </c>
      <c r="D97" t="s">
        <v>4</v>
      </c>
      <c r="E97">
        <v>3</v>
      </c>
      <c r="H97" s="5" t="str">
        <f t="shared" si="2"/>
        <v>EUR#EUR EURIBOR 3M#Yield#3</v>
      </c>
      <c r="I97">
        <v>0</v>
      </c>
    </row>
    <row r="98" spans="1:9">
      <c r="A98" t="s">
        <v>1</v>
      </c>
      <c r="B98" t="str">
        <f t="shared" si="3"/>
        <v>EUR</v>
      </c>
      <c r="C98" t="s">
        <v>26</v>
      </c>
      <c r="D98" t="s">
        <v>4</v>
      </c>
      <c r="E98">
        <v>0.5</v>
      </c>
      <c r="H98" s="5" t="str">
        <f t="shared" si="2"/>
        <v>EUR#EUR EURIBOR 3M#Yield#0.5</v>
      </c>
      <c r="I98">
        <v>0</v>
      </c>
    </row>
    <row r="99" spans="1:9">
      <c r="A99" t="s">
        <v>1</v>
      </c>
      <c r="B99" t="str">
        <f t="shared" si="3"/>
        <v>EUR</v>
      </c>
      <c r="C99" t="s">
        <v>24</v>
      </c>
      <c r="D99" t="s">
        <v>4</v>
      </c>
      <c r="E99">
        <v>3</v>
      </c>
      <c r="H99" s="5" t="str">
        <f t="shared" si="2"/>
        <v>EUR#EUR FX ARR#Yield#3</v>
      </c>
      <c r="I99">
        <v>0</v>
      </c>
    </row>
    <row r="100" spans="1:9">
      <c r="A100" t="s">
        <v>1</v>
      </c>
      <c r="B100" t="str">
        <f t="shared" si="3"/>
        <v>GBP</v>
      </c>
      <c r="C100" t="s">
        <v>27</v>
      </c>
      <c r="D100" t="s">
        <v>4</v>
      </c>
      <c r="E100">
        <v>0.25</v>
      </c>
      <c r="H100" s="5" t="str">
        <f t="shared" si="2"/>
        <v>GBP#GBP FX ARR#Yield#0.25</v>
      </c>
      <c r="I100">
        <v>10776069.808307046</v>
      </c>
    </row>
    <row r="101" spans="1:9">
      <c r="A101" t="s">
        <v>1</v>
      </c>
      <c r="B101" t="str">
        <f t="shared" si="3"/>
        <v>GBP</v>
      </c>
      <c r="C101" t="s">
        <v>27</v>
      </c>
      <c r="D101" t="s">
        <v>6</v>
      </c>
      <c r="E101" s="7">
        <v>0</v>
      </c>
      <c r="H101" s="5" t="str">
        <f t="shared" si="2"/>
        <v>GBP#GBP FX ARR#XCCY#0</v>
      </c>
      <c r="I101">
        <v>32525128.235765453</v>
      </c>
    </row>
    <row r="102" spans="1:9">
      <c r="A102" t="s">
        <v>1</v>
      </c>
      <c r="B102" t="str">
        <f t="shared" si="3"/>
        <v>GBP</v>
      </c>
      <c r="C102" t="s">
        <v>27</v>
      </c>
      <c r="D102" t="s">
        <v>4</v>
      </c>
      <c r="E102">
        <v>1</v>
      </c>
      <c r="H102" s="5" t="str">
        <f t="shared" si="2"/>
        <v>GBP#GBP FX ARR#Yield#1</v>
      </c>
      <c r="I102">
        <v>2285371.9202453778</v>
      </c>
    </row>
    <row r="103" spans="1:9">
      <c r="A103" t="s">
        <v>1</v>
      </c>
      <c r="B103" t="str">
        <f t="shared" si="3"/>
        <v>GBP</v>
      </c>
      <c r="C103" t="s">
        <v>27</v>
      </c>
      <c r="D103" t="s">
        <v>4</v>
      </c>
      <c r="E103">
        <v>0.5</v>
      </c>
      <c r="H103" s="5" t="str">
        <f t="shared" si="2"/>
        <v>GBP#GBP FX ARR#Yield#0.5</v>
      </c>
      <c r="I103">
        <v>16150486.583528405</v>
      </c>
    </row>
    <row r="104" spans="1:9">
      <c r="A104" t="s">
        <v>1</v>
      </c>
      <c r="B104" t="str">
        <f t="shared" si="3"/>
        <v>GBP</v>
      </c>
      <c r="C104" t="s">
        <v>27</v>
      </c>
      <c r="D104" t="s">
        <v>4</v>
      </c>
      <c r="E104">
        <v>2</v>
      </c>
      <c r="H104" s="5" t="str">
        <f t="shared" si="2"/>
        <v>GBP#GBP FX ARR#Yield#2</v>
      </c>
      <c r="I104">
        <v>3313201.8555434523</v>
      </c>
    </row>
    <row r="105" spans="1:9">
      <c r="A105" t="s">
        <v>1</v>
      </c>
      <c r="B105" t="str">
        <f t="shared" si="3"/>
        <v>HKD</v>
      </c>
      <c r="C105" t="s">
        <v>28</v>
      </c>
      <c r="D105" t="s">
        <v>4</v>
      </c>
      <c r="E105">
        <v>0.25</v>
      </c>
      <c r="H105" s="5" t="str">
        <f t="shared" si="2"/>
        <v>HKD#HKD FX ARR#Yield#0.25</v>
      </c>
      <c r="I105">
        <v>-288899586.08652198</v>
      </c>
    </row>
    <row r="106" spans="1:9">
      <c r="A106" t="s">
        <v>1</v>
      </c>
      <c r="B106" t="str">
        <f t="shared" si="3"/>
        <v>HKD</v>
      </c>
      <c r="C106" t="s">
        <v>28</v>
      </c>
      <c r="D106" t="s">
        <v>6</v>
      </c>
      <c r="E106" s="7">
        <v>0</v>
      </c>
      <c r="H106" s="5" t="str">
        <f t="shared" si="2"/>
        <v>HKD#HKD FX ARR#XCCY#0</v>
      </c>
      <c r="I106">
        <v>5527920547.4771671</v>
      </c>
    </row>
    <row r="107" spans="1:9">
      <c r="A107" t="s">
        <v>1</v>
      </c>
      <c r="B107" t="s">
        <v>29</v>
      </c>
      <c r="C107" t="s">
        <v>30</v>
      </c>
      <c r="D107" t="s">
        <v>31</v>
      </c>
      <c r="E107" s="7">
        <v>0</v>
      </c>
      <c r="H107" s="5" t="str">
        <f t="shared" si="2"/>
        <v>HKD#HK CPI#Inflation#0</v>
      </c>
      <c r="I107">
        <v>8000000.2128499178</v>
      </c>
    </row>
    <row r="108" spans="1:9">
      <c r="A108" t="s">
        <v>1</v>
      </c>
      <c r="B108" t="str">
        <f t="shared" ref="B108:B171" si="4">LEFT(C108,3)</f>
        <v>HKD</v>
      </c>
      <c r="C108" t="s">
        <v>32</v>
      </c>
      <c r="D108" t="s">
        <v>4</v>
      </c>
      <c r="E108">
        <v>10</v>
      </c>
      <c r="H108" s="5" t="str">
        <f t="shared" si="2"/>
        <v>HKD#HKD HIBOR 3M#Yield#10</v>
      </c>
      <c r="I108">
        <v>550718552.35254049</v>
      </c>
    </row>
    <row r="109" spans="1:9">
      <c r="A109" t="s">
        <v>1</v>
      </c>
      <c r="B109" t="str">
        <f t="shared" si="4"/>
        <v>HKD</v>
      </c>
      <c r="C109" t="s">
        <v>32</v>
      </c>
      <c r="D109" t="s">
        <v>4</v>
      </c>
      <c r="E109">
        <v>15</v>
      </c>
      <c r="H109" s="5" t="str">
        <f t="shared" si="2"/>
        <v>HKD#HKD HIBOR 3M#Yield#15</v>
      </c>
      <c r="I109">
        <v>33383615.488212187</v>
      </c>
    </row>
    <row r="110" spans="1:9">
      <c r="A110" t="s">
        <v>1</v>
      </c>
      <c r="B110" t="str">
        <f t="shared" si="4"/>
        <v>HKD</v>
      </c>
      <c r="C110" t="s">
        <v>32</v>
      </c>
      <c r="D110" t="s">
        <v>4</v>
      </c>
      <c r="E110">
        <v>1</v>
      </c>
      <c r="H110" s="5" t="str">
        <f t="shared" si="2"/>
        <v>HKD#HKD HIBOR 3M#Yield#1</v>
      </c>
      <c r="I110">
        <v>876306851.11524773</v>
      </c>
    </row>
    <row r="111" spans="1:9">
      <c r="A111" t="s">
        <v>1</v>
      </c>
      <c r="B111" t="str">
        <f t="shared" si="4"/>
        <v>HKD</v>
      </c>
      <c r="C111" t="s">
        <v>32</v>
      </c>
      <c r="D111" t="s">
        <v>4</v>
      </c>
      <c r="E111">
        <v>20</v>
      </c>
      <c r="H111" s="5" t="str">
        <f t="shared" si="2"/>
        <v>HKD#HKD HIBOR 3M#Yield#20</v>
      </c>
      <c r="I111">
        <v>0</v>
      </c>
    </row>
    <row r="112" spans="1:9">
      <c r="A112" t="s">
        <v>1</v>
      </c>
      <c r="B112" t="str">
        <f t="shared" si="4"/>
        <v>HKD</v>
      </c>
      <c r="C112" t="s">
        <v>32</v>
      </c>
      <c r="D112" t="s">
        <v>4</v>
      </c>
      <c r="E112">
        <v>2</v>
      </c>
      <c r="H112" s="5" t="str">
        <f t="shared" si="2"/>
        <v>HKD#HKD HIBOR 3M#Yield#2</v>
      </c>
      <c r="I112">
        <v>-1980753940.5003836</v>
      </c>
    </row>
    <row r="113" spans="1:9">
      <c r="A113" t="s">
        <v>1</v>
      </c>
      <c r="B113" t="str">
        <f t="shared" si="4"/>
        <v>HKD</v>
      </c>
      <c r="C113" t="s">
        <v>32</v>
      </c>
      <c r="D113" t="s">
        <v>4</v>
      </c>
      <c r="E113">
        <v>30</v>
      </c>
      <c r="H113" s="5" t="str">
        <f t="shared" si="2"/>
        <v>HKD#HKD HIBOR 3M#Yield#30</v>
      </c>
      <c r="I113">
        <v>0</v>
      </c>
    </row>
    <row r="114" spans="1:9">
      <c r="A114" t="s">
        <v>1</v>
      </c>
      <c r="B114" t="str">
        <f t="shared" si="4"/>
        <v>HKD</v>
      </c>
      <c r="C114" t="s">
        <v>32</v>
      </c>
      <c r="D114" t="s">
        <v>4</v>
      </c>
      <c r="E114">
        <v>0.25</v>
      </c>
      <c r="H114" s="5" t="str">
        <f t="shared" si="2"/>
        <v>HKD#HKD HIBOR 3M#Yield#0.25</v>
      </c>
      <c r="I114">
        <v>-428089510.5898571</v>
      </c>
    </row>
    <row r="115" spans="1:9">
      <c r="A115" t="s">
        <v>1</v>
      </c>
      <c r="B115" t="str">
        <f t="shared" si="4"/>
        <v>HKD</v>
      </c>
      <c r="C115" t="s">
        <v>32</v>
      </c>
      <c r="D115" t="s">
        <v>4</v>
      </c>
      <c r="E115">
        <v>3</v>
      </c>
      <c r="H115" s="5" t="str">
        <f t="shared" si="2"/>
        <v>HKD#HKD HIBOR 3M#Yield#3</v>
      </c>
      <c r="I115">
        <v>87011320.415026665</v>
      </c>
    </row>
    <row r="116" spans="1:9">
      <c r="A116" t="s">
        <v>1</v>
      </c>
      <c r="B116" t="str">
        <f t="shared" si="4"/>
        <v>HKD</v>
      </c>
      <c r="C116" t="s">
        <v>32</v>
      </c>
      <c r="D116" t="s">
        <v>4</v>
      </c>
      <c r="E116">
        <v>5</v>
      </c>
      <c r="H116" s="5" t="str">
        <f t="shared" si="2"/>
        <v>HKD#HKD HIBOR 3M#Yield#5</v>
      </c>
      <c r="I116">
        <v>767336680.81594384</v>
      </c>
    </row>
    <row r="117" spans="1:9">
      <c r="A117" t="s">
        <v>1</v>
      </c>
      <c r="B117" t="str">
        <f t="shared" si="4"/>
        <v>HKD</v>
      </c>
      <c r="C117" t="s">
        <v>32</v>
      </c>
      <c r="D117" t="s">
        <v>4</v>
      </c>
      <c r="E117">
        <v>0.5</v>
      </c>
      <c r="H117" s="5" t="str">
        <f t="shared" si="2"/>
        <v>HKD#HKD HIBOR 3M#Yield#0.5</v>
      </c>
      <c r="I117">
        <v>-19209385.911090918</v>
      </c>
    </row>
    <row r="118" spans="1:9">
      <c r="A118" t="s">
        <v>1</v>
      </c>
      <c r="B118" t="str">
        <f t="shared" si="4"/>
        <v>HKD</v>
      </c>
      <c r="C118" t="s">
        <v>33</v>
      </c>
      <c r="D118" t="s">
        <v>4</v>
      </c>
      <c r="E118">
        <v>0.25</v>
      </c>
      <c r="H118" s="5" t="str">
        <f t="shared" si="2"/>
        <v>HKD#HKD :STD#Yield#0.25</v>
      </c>
      <c r="I118">
        <v>-44356162.580117568</v>
      </c>
    </row>
    <row r="119" spans="1:9">
      <c r="A119" t="s">
        <v>1</v>
      </c>
      <c r="B119" t="str">
        <f t="shared" si="4"/>
        <v>HKD</v>
      </c>
      <c r="C119" t="s">
        <v>34</v>
      </c>
      <c r="D119" t="s">
        <v>4</v>
      </c>
      <c r="E119">
        <v>1</v>
      </c>
      <c r="H119" s="5" t="str">
        <f t="shared" si="2"/>
        <v>HKD#HKD HONIA#Yield#1</v>
      </c>
      <c r="I119">
        <v>19833765.027725071</v>
      </c>
    </row>
    <row r="120" spans="1:9">
      <c r="A120" t="s">
        <v>1</v>
      </c>
      <c r="B120" t="str">
        <f t="shared" si="4"/>
        <v>HKD</v>
      </c>
      <c r="C120" t="s">
        <v>34</v>
      </c>
      <c r="D120" t="s">
        <v>4</v>
      </c>
      <c r="E120">
        <v>2</v>
      </c>
      <c r="H120" s="5" t="str">
        <f t="shared" si="2"/>
        <v>HKD#HKD HONIA#Yield#2</v>
      </c>
      <c r="I120">
        <v>-3517575.0936297989</v>
      </c>
    </row>
    <row r="121" spans="1:9">
      <c r="A121" t="s">
        <v>1</v>
      </c>
      <c r="B121" t="str">
        <f t="shared" si="4"/>
        <v>HKD</v>
      </c>
      <c r="C121" t="s">
        <v>34</v>
      </c>
      <c r="D121" t="s">
        <v>4</v>
      </c>
      <c r="E121">
        <v>0.25</v>
      </c>
      <c r="H121" s="5" t="str">
        <f t="shared" si="2"/>
        <v>HKD#HKD HONIA#Yield#0.25</v>
      </c>
      <c r="I121">
        <v>434672.21155696403</v>
      </c>
    </row>
    <row r="122" spans="1:9">
      <c r="A122" t="s">
        <v>1</v>
      </c>
      <c r="B122" t="str">
        <f t="shared" si="4"/>
        <v>HKD</v>
      </c>
      <c r="C122" t="s">
        <v>34</v>
      </c>
      <c r="D122" t="s">
        <v>4</v>
      </c>
      <c r="E122">
        <v>0.5</v>
      </c>
      <c r="H122" s="5" t="str">
        <f t="shared" si="2"/>
        <v>HKD#HKD HONIA#Yield#0.5</v>
      </c>
      <c r="I122">
        <v>1229083.7326925586</v>
      </c>
    </row>
    <row r="123" spans="1:9">
      <c r="A123" t="s">
        <v>1</v>
      </c>
      <c r="B123" t="str">
        <f t="shared" si="4"/>
        <v>HKD</v>
      </c>
      <c r="C123" t="s">
        <v>28</v>
      </c>
      <c r="D123" t="s">
        <v>4</v>
      </c>
      <c r="E123">
        <v>1</v>
      </c>
      <c r="H123" s="5" t="str">
        <f t="shared" si="2"/>
        <v>HKD#HKD FX ARR#Yield#1</v>
      </c>
      <c r="I123">
        <v>1487024574.6641266</v>
      </c>
    </row>
    <row r="124" spans="1:9">
      <c r="A124" t="s">
        <v>1</v>
      </c>
      <c r="B124" t="str">
        <f t="shared" si="4"/>
        <v>HKD</v>
      </c>
      <c r="C124" t="s">
        <v>28</v>
      </c>
      <c r="D124" t="s">
        <v>4</v>
      </c>
      <c r="E124">
        <v>0.5</v>
      </c>
      <c r="H124" s="5" t="str">
        <f t="shared" si="2"/>
        <v>HKD#HKD FX ARR#Yield#0.5</v>
      </c>
      <c r="I124">
        <v>-905814225.30029416</v>
      </c>
    </row>
    <row r="125" spans="1:9">
      <c r="A125" t="s">
        <v>1</v>
      </c>
      <c r="B125" t="str">
        <f t="shared" si="4"/>
        <v>HKD</v>
      </c>
      <c r="C125" t="s">
        <v>28</v>
      </c>
      <c r="D125" t="s">
        <v>4</v>
      </c>
      <c r="E125">
        <v>2</v>
      </c>
      <c r="H125" s="5" t="str">
        <f t="shared" si="2"/>
        <v>HKD#HKD FX ARR#Yield#2</v>
      </c>
      <c r="I125">
        <v>1772897709.0701432</v>
      </c>
    </row>
    <row r="126" spans="1:9">
      <c r="A126" t="s">
        <v>1</v>
      </c>
      <c r="B126" t="str">
        <f t="shared" si="4"/>
        <v>HKD</v>
      </c>
      <c r="C126" t="s">
        <v>34</v>
      </c>
      <c r="D126" t="s">
        <v>4</v>
      </c>
      <c r="E126">
        <v>3</v>
      </c>
      <c r="H126" s="5" t="str">
        <f t="shared" si="2"/>
        <v>HKD#HKD HONIA#Yield#3</v>
      </c>
      <c r="I126">
        <v>29391371.181986261</v>
      </c>
    </row>
    <row r="127" spans="1:9">
      <c r="A127" t="s">
        <v>1</v>
      </c>
      <c r="B127" t="str">
        <f t="shared" si="4"/>
        <v>HKD</v>
      </c>
      <c r="C127" t="s">
        <v>33</v>
      </c>
      <c r="D127" t="s">
        <v>4</v>
      </c>
      <c r="E127">
        <v>0.5</v>
      </c>
      <c r="H127" s="5" t="str">
        <f t="shared" si="2"/>
        <v>HKD#HKD :STD#Yield#0.5</v>
      </c>
      <c r="I127">
        <v>171575709.36495814</v>
      </c>
    </row>
    <row r="128" spans="1:9">
      <c r="A128" t="s">
        <v>1</v>
      </c>
      <c r="B128" t="str">
        <f t="shared" si="4"/>
        <v>HKD</v>
      </c>
      <c r="C128" t="s">
        <v>33</v>
      </c>
      <c r="D128" t="s">
        <v>4</v>
      </c>
      <c r="E128">
        <v>1</v>
      </c>
      <c r="H128" s="5" t="str">
        <f t="shared" si="2"/>
        <v>HKD#HKD :STD#Yield#1</v>
      </c>
      <c r="I128">
        <v>-302251240.84177238</v>
      </c>
    </row>
    <row r="129" spans="1:9">
      <c r="A129" t="s">
        <v>1</v>
      </c>
      <c r="B129" t="str">
        <f t="shared" si="4"/>
        <v>HKD</v>
      </c>
      <c r="C129" t="s">
        <v>33</v>
      </c>
      <c r="D129" t="s">
        <v>4</v>
      </c>
      <c r="E129">
        <v>3</v>
      </c>
      <c r="H129" s="5" t="str">
        <f t="shared" si="2"/>
        <v>HKD#HKD :STD#Yield#3</v>
      </c>
      <c r="I129">
        <v>-182020730.14288771</v>
      </c>
    </row>
    <row r="130" spans="1:9">
      <c r="A130" t="s">
        <v>1</v>
      </c>
      <c r="B130" t="str">
        <f t="shared" si="4"/>
        <v>HKD</v>
      </c>
      <c r="C130" t="s">
        <v>33</v>
      </c>
      <c r="D130" t="s">
        <v>4</v>
      </c>
      <c r="E130">
        <v>5</v>
      </c>
      <c r="H130" s="5" t="str">
        <f t="shared" ref="H130:H193" si="5">IF($A130="Delta",_xlfn.TEXTJOIN("#",TRUE,$B130:$E130),IF($A130="Vega",_xlfn.TEXTJOIN("#",TRUE,$B130,$E130,$F130),$B130))</f>
        <v>HKD#HKD :STD#Yield#5</v>
      </c>
      <c r="I130">
        <v>0</v>
      </c>
    </row>
    <row r="131" spans="1:9">
      <c r="A131" t="s">
        <v>1</v>
      </c>
      <c r="B131" t="str">
        <f t="shared" si="4"/>
        <v>HKD</v>
      </c>
      <c r="C131" t="s">
        <v>33</v>
      </c>
      <c r="D131" t="s">
        <v>4</v>
      </c>
      <c r="E131">
        <v>2</v>
      </c>
      <c r="H131" s="5" t="str">
        <f t="shared" si="5"/>
        <v>HKD#HKD :STD#Yield#2</v>
      </c>
      <c r="I131">
        <v>-14199986.077865243</v>
      </c>
    </row>
    <row r="132" spans="1:9">
      <c r="A132" t="s">
        <v>1</v>
      </c>
      <c r="B132" t="str">
        <f t="shared" si="4"/>
        <v>HKD</v>
      </c>
      <c r="C132" t="s">
        <v>35</v>
      </c>
      <c r="D132" t="s">
        <v>6</v>
      </c>
      <c r="E132" s="7">
        <v>0</v>
      </c>
      <c r="H132" s="5" t="str">
        <f t="shared" si="5"/>
        <v>HKD#HKD FX OIS#XCCY#0</v>
      </c>
      <c r="I132">
        <v>-6474078215.0508785</v>
      </c>
    </row>
    <row r="133" spans="1:9">
      <c r="A133" t="s">
        <v>1</v>
      </c>
      <c r="B133" t="str">
        <f t="shared" si="4"/>
        <v>HKD</v>
      </c>
      <c r="C133" t="s">
        <v>34</v>
      </c>
      <c r="D133" t="s">
        <v>4</v>
      </c>
      <c r="E133">
        <v>10</v>
      </c>
      <c r="H133" s="5" t="str">
        <f t="shared" si="5"/>
        <v>HKD#HKD HONIA#Yield#10</v>
      </c>
      <c r="I133">
        <v>40397264.6748183</v>
      </c>
    </row>
    <row r="134" spans="1:9">
      <c r="A134" t="s">
        <v>1</v>
      </c>
      <c r="B134" t="str">
        <f t="shared" si="4"/>
        <v>HKD</v>
      </c>
      <c r="C134" t="s">
        <v>34</v>
      </c>
      <c r="D134" t="s">
        <v>4</v>
      </c>
      <c r="E134">
        <v>15</v>
      </c>
      <c r="H134" s="5" t="str">
        <f t="shared" si="5"/>
        <v>HKD#HKD HONIA#Yield#15</v>
      </c>
      <c r="I134">
        <v>37038.800985175214</v>
      </c>
    </row>
    <row r="135" spans="1:9">
      <c r="A135" t="s">
        <v>1</v>
      </c>
      <c r="B135" t="str">
        <f t="shared" si="4"/>
        <v>HKD</v>
      </c>
      <c r="C135" t="s">
        <v>34</v>
      </c>
      <c r="D135" t="s">
        <v>4</v>
      </c>
      <c r="E135">
        <v>5</v>
      </c>
      <c r="H135" s="5" t="str">
        <f t="shared" si="5"/>
        <v>HKD#HKD HONIA#Yield#5</v>
      </c>
      <c r="I135">
        <v>44172910.375271432</v>
      </c>
    </row>
    <row r="136" spans="1:9">
      <c r="A136" t="s">
        <v>1</v>
      </c>
      <c r="B136" t="str">
        <f t="shared" si="4"/>
        <v>HKD</v>
      </c>
      <c r="C136" t="s">
        <v>35</v>
      </c>
      <c r="D136" t="s">
        <v>4</v>
      </c>
      <c r="E136">
        <v>1</v>
      </c>
      <c r="H136" s="5" t="str">
        <f t="shared" si="5"/>
        <v>HKD#HKD FX OIS#Yield#1</v>
      </c>
      <c r="I136">
        <v>-1030293376.6122341</v>
      </c>
    </row>
    <row r="137" spans="1:9">
      <c r="A137" t="s">
        <v>1</v>
      </c>
      <c r="B137" t="str">
        <f t="shared" si="4"/>
        <v>HKD</v>
      </c>
      <c r="C137" t="s">
        <v>35</v>
      </c>
      <c r="D137" t="s">
        <v>4</v>
      </c>
      <c r="E137">
        <v>2</v>
      </c>
      <c r="H137" s="5" t="str">
        <f t="shared" si="5"/>
        <v>HKD#HKD FX OIS#Yield#2</v>
      </c>
      <c r="I137">
        <v>-2057655379.0464733</v>
      </c>
    </row>
    <row r="138" spans="1:9">
      <c r="A138" t="s">
        <v>1</v>
      </c>
      <c r="B138" t="str">
        <f t="shared" si="4"/>
        <v>HKD</v>
      </c>
      <c r="C138" t="s">
        <v>35</v>
      </c>
      <c r="D138" t="s">
        <v>4</v>
      </c>
      <c r="E138">
        <v>0.25</v>
      </c>
      <c r="H138" s="5" t="str">
        <f t="shared" si="5"/>
        <v>HKD#HKD FX OIS#Yield#0.25</v>
      </c>
      <c r="I138">
        <v>-229947562.81803858</v>
      </c>
    </row>
    <row r="139" spans="1:9">
      <c r="A139" t="s">
        <v>1</v>
      </c>
      <c r="B139" t="str">
        <f t="shared" si="4"/>
        <v>HKD</v>
      </c>
      <c r="C139" t="s">
        <v>35</v>
      </c>
      <c r="D139" t="s">
        <v>4</v>
      </c>
      <c r="E139">
        <v>0.5</v>
      </c>
      <c r="H139" s="5" t="str">
        <f t="shared" si="5"/>
        <v>HKD#HKD FX OIS#Yield#0.5</v>
      </c>
      <c r="I139">
        <v>29775329.792207371</v>
      </c>
    </row>
    <row r="140" spans="1:9">
      <c r="A140" t="s">
        <v>1</v>
      </c>
      <c r="B140" t="str">
        <f t="shared" si="4"/>
        <v>HKD</v>
      </c>
      <c r="C140" t="s">
        <v>36</v>
      </c>
      <c r="D140" t="s">
        <v>4</v>
      </c>
      <c r="E140">
        <v>1</v>
      </c>
      <c r="H140" s="5" t="str">
        <f t="shared" si="5"/>
        <v>HKD#HKD HIBOR 1M#Yield#1</v>
      </c>
      <c r="I140">
        <v>-600284256.97131169</v>
      </c>
    </row>
    <row r="141" spans="1:9">
      <c r="A141" t="s">
        <v>1</v>
      </c>
      <c r="B141" t="str">
        <f t="shared" si="4"/>
        <v>HKD</v>
      </c>
      <c r="C141" t="s">
        <v>36</v>
      </c>
      <c r="D141" t="s">
        <v>4</v>
      </c>
      <c r="E141">
        <v>0.25</v>
      </c>
      <c r="H141" s="5" t="str">
        <f t="shared" si="5"/>
        <v>HKD#HKD HIBOR 1M#Yield#0.25</v>
      </c>
      <c r="I141">
        <v>121705659.93813032</v>
      </c>
    </row>
    <row r="142" spans="1:9">
      <c r="A142" t="s">
        <v>1</v>
      </c>
      <c r="B142" t="str">
        <f t="shared" si="4"/>
        <v>HKD</v>
      </c>
      <c r="C142" t="s">
        <v>36</v>
      </c>
      <c r="D142" t="s">
        <v>4</v>
      </c>
      <c r="E142">
        <v>0.5</v>
      </c>
      <c r="H142" s="5" t="str">
        <f t="shared" si="5"/>
        <v>HKD#HKD HIBOR 1M#Yield#0.5</v>
      </c>
      <c r="I142">
        <v>-1221387.832499888</v>
      </c>
    </row>
    <row r="143" spans="1:9">
      <c r="A143" t="s">
        <v>1</v>
      </c>
      <c r="B143" t="str">
        <f t="shared" si="4"/>
        <v>HKD</v>
      </c>
      <c r="C143" t="s">
        <v>35</v>
      </c>
      <c r="D143" t="s">
        <v>4</v>
      </c>
      <c r="E143">
        <v>3</v>
      </c>
      <c r="H143" s="5" t="str">
        <f t="shared" si="5"/>
        <v>HKD#HKD FX OIS#Yield#3</v>
      </c>
      <c r="I143">
        <v>-2404409507.2722945</v>
      </c>
    </row>
    <row r="144" spans="1:9">
      <c r="A144" t="s">
        <v>1</v>
      </c>
      <c r="B144" t="str">
        <f t="shared" si="4"/>
        <v>HKD</v>
      </c>
      <c r="C144" t="s">
        <v>36</v>
      </c>
      <c r="D144" t="s">
        <v>4</v>
      </c>
      <c r="E144">
        <v>2</v>
      </c>
      <c r="H144" s="5" t="str">
        <f t="shared" si="5"/>
        <v>HKD#HKD HIBOR 1M#Yield#2</v>
      </c>
      <c r="I144">
        <v>-292432616.5805409</v>
      </c>
    </row>
    <row r="145" spans="1:9">
      <c r="A145" t="s">
        <v>1</v>
      </c>
      <c r="B145" t="str">
        <f t="shared" si="4"/>
        <v>HKD</v>
      </c>
      <c r="C145" t="s">
        <v>35</v>
      </c>
      <c r="D145" t="s">
        <v>4</v>
      </c>
      <c r="E145">
        <v>10</v>
      </c>
      <c r="H145" s="5" t="str">
        <f t="shared" si="5"/>
        <v>HKD#HKD FX OIS#Yield#10</v>
      </c>
      <c r="I145">
        <v>76628411.638794154</v>
      </c>
    </row>
    <row r="146" spans="1:9">
      <c r="A146" t="s">
        <v>1</v>
      </c>
      <c r="B146" t="str">
        <f t="shared" si="4"/>
        <v>HKD</v>
      </c>
      <c r="C146" t="s">
        <v>35</v>
      </c>
      <c r="D146" t="s">
        <v>4</v>
      </c>
      <c r="E146">
        <v>5</v>
      </c>
      <c r="H146" s="5" t="str">
        <f t="shared" si="5"/>
        <v>HKD#HKD FX OIS#Yield#5</v>
      </c>
      <c r="I146">
        <v>-858176130.53283846</v>
      </c>
    </row>
    <row r="147" spans="1:9">
      <c r="A147" t="s">
        <v>1</v>
      </c>
      <c r="B147" t="str">
        <f t="shared" si="4"/>
        <v>HKD</v>
      </c>
      <c r="C147" t="s">
        <v>36</v>
      </c>
      <c r="D147" t="s">
        <v>4</v>
      </c>
      <c r="E147">
        <v>3</v>
      </c>
      <c r="H147" s="5" t="str">
        <f t="shared" si="5"/>
        <v>HKD#HKD HIBOR 1M#Yield#3</v>
      </c>
      <c r="I147">
        <v>920753656.89777768</v>
      </c>
    </row>
    <row r="148" spans="1:9">
      <c r="A148" t="s">
        <v>1</v>
      </c>
      <c r="B148" t="str">
        <f t="shared" si="4"/>
        <v>HKD</v>
      </c>
      <c r="C148" t="s">
        <v>28</v>
      </c>
      <c r="D148" t="s">
        <v>4</v>
      </c>
      <c r="E148">
        <v>3</v>
      </c>
      <c r="H148" s="5" t="str">
        <f t="shared" si="5"/>
        <v>HKD#HKD FX ARR#Yield#3</v>
      </c>
      <c r="I148">
        <v>3462712070.9297428</v>
      </c>
    </row>
    <row r="149" spans="1:9">
      <c r="A149" t="s">
        <v>1</v>
      </c>
      <c r="B149" t="str">
        <f t="shared" si="4"/>
        <v>HKD</v>
      </c>
      <c r="C149" t="s">
        <v>36</v>
      </c>
      <c r="D149" t="s">
        <v>4</v>
      </c>
      <c r="E149">
        <v>5</v>
      </c>
      <c r="H149" s="5" t="str">
        <f t="shared" si="5"/>
        <v>HKD#HKD HIBOR 1M#Yield#5</v>
      </c>
      <c r="I149">
        <v>-449298714.05414838</v>
      </c>
    </row>
    <row r="150" spans="1:9">
      <c r="A150" t="s">
        <v>1</v>
      </c>
      <c r="B150" t="str">
        <f t="shared" si="4"/>
        <v>HKD</v>
      </c>
      <c r="C150" t="s">
        <v>36</v>
      </c>
      <c r="D150" t="s">
        <v>4</v>
      </c>
      <c r="E150">
        <v>10</v>
      </c>
      <c r="H150" s="5" t="str">
        <f t="shared" si="5"/>
        <v>HKD#HKD HIBOR 1M#Yield#10</v>
      </c>
      <c r="I150">
        <v>-82892573.00545755</v>
      </c>
    </row>
    <row r="151" spans="1:9">
      <c r="A151" t="s">
        <v>1</v>
      </c>
      <c r="B151" t="str">
        <f t="shared" si="4"/>
        <v>IDN</v>
      </c>
      <c r="C151" t="s">
        <v>37</v>
      </c>
      <c r="D151" t="s">
        <v>6</v>
      </c>
      <c r="E151" s="7">
        <v>0</v>
      </c>
      <c r="H151" s="5" t="str">
        <f t="shared" si="5"/>
        <v>IDN#IDN FX#XCCY#0</v>
      </c>
      <c r="I151">
        <v>3535601.2573187472</v>
      </c>
    </row>
    <row r="152" spans="1:9">
      <c r="A152" t="s">
        <v>1</v>
      </c>
      <c r="B152" t="str">
        <f t="shared" si="4"/>
        <v>INN</v>
      </c>
      <c r="C152" t="s">
        <v>38</v>
      </c>
      <c r="D152" t="s">
        <v>6</v>
      </c>
      <c r="E152" s="7">
        <v>0</v>
      </c>
      <c r="H152" s="5" t="str">
        <f t="shared" si="5"/>
        <v>INN#INN FX#XCCY#0</v>
      </c>
      <c r="I152">
        <v>66873.499999986961</v>
      </c>
    </row>
    <row r="153" spans="1:9">
      <c r="A153" t="s">
        <v>1</v>
      </c>
      <c r="B153" t="str">
        <f t="shared" si="4"/>
        <v>JPY</v>
      </c>
      <c r="C153" t="s">
        <v>39</v>
      </c>
      <c r="D153" t="s">
        <v>4</v>
      </c>
      <c r="E153">
        <v>0.25</v>
      </c>
      <c r="H153" s="5" t="str">
        <f t="shared" si="5"/>
        <v>JPY#JPY FX ARR#Yield#0.25</v>
      </c>
      <c r="I153">
        <v>-54215093.752005689</v>
      </c>
    </row>
    <row r="154" spans="1:9">
      <c r="A154" t="s">
        <v>1</v>
      </c>
      <c r="B154" t="str">
        <f t="shared" si="4"/>
        <v>JPY</v>
      </c>
      <c r="C154" t="s">
        <v>39</v>
      </c>
      <c r="D154" t="s">
        <v>6</v>
      </c>
      <c r="E154" s="7">
        <v>0</v>
      </c>
      <c r="H154" s="5" t="str">
        <f t="shared" si="5"/>
        <v>JPY#JPY FX ARR#XCCY#0</v>
      </c>
      <c r="I154">
        <v>-12232859.194275584</v>
      </c>
    </row>
    <row r="155" spans="1:9">
      <c r="A155" t="s">
        <v>1</v>
      </c>
      <c r="B155" t="str">
        <f t="shared" si="4"/>
        <v>JPY</v>
      </c>
      <c r="C155" t="s">
        <v>39</v>
      </c>
      <c r="D155" t="s">
        <v>4</v>
      </c>
      <c r="E155">
        <v>1</v>
      </c>
      <c r="H155" s="5" t="str">
        <f t="shared" si="5"/>
        <v>JPY#JPY FX ARR#Yield#1</v>
      </c>
      <c r="I155">
        <v>30703141.897283398</v>
      </c>
    </row>
    <row r="156" spans="1:9">
      <c r="A156" t="s">
        <v>1</v>
      </c>
      <c r="B156" t="str">
        <f t="shared" si="4"/>
        <v>JPY</v>
      </c>
      <c r="C156" t="s">
        <v>39</v>
      </c>
      <c r="D156" t="s">
        <v>4</v>
      </c>
      <c r="E156">
        <v>0.5</v>
      </c>
      <c r="H156" s="5" t="str">
        <f t="shared" si="5"/>
        <v>JPY#JPY FX ARR#Yield#0.5</v>
      </c>
      <c r="I156">
        <v>11279092.654434979</v>
      </c>
    </row>
    <row r="157" spans="1:9">
      <c r="A157" t="s">
        <v>1</v>
      </c>
      <c r="B157" t="str">
        <f t="shared" si="4"/>
        <v>KRN</v>
      </c>
      <c r="C157" t="s">
        <v>40</v>
      </c>
      <c r="D157" t="s">
        <v>4</v>
      </c>
      <c r="E157">
        <v>0.25</v>
      </c>
      <c r="H157" s="5" t="str">
        <f t="shared" si="5"/>
        <v>KRN#KRN FX#Yield#0.25</v>
      </c>
      <c r="I157">
        <v>210593.75959235255</v>
      </c>
    </row>
    <row r="158" spans="1:9">
      <c r="A158" t="s">
        <v>1</v>
      </c>
      <c r="B158" t="str">
        <f t="shared" si="4"/>
        <v>KRN</v>
      </c>
      <c r="C158" t="s">
        <v>40</v>
      </c>
      <c r="D158" t="s">
        <v>6</v>
      </c>
      <c r="E158" s="7">
        <v>0</v>
      </c>
      <c r="H158" s="5" t="str">
        <f t="shared" si="5"/>
        <v>KRN#KRN FX#XCCY#0</v>
      </c>
      <c r="I158">
        <v>210593.75959562586</v>
      </c>
    </row>
    <row r="159" spans="1:9">
      <c r="A159" t="s">
        <v>1</v>
      </c>
      <c r="B159" t="str">
        <f t="shared" si="4"/>
        <v>MYN</v>
      </c>
      <c r="C159" t="s">
        <v>41</v>
      </c>
      <c r="D159" t="s">
        <v>6</v>
      </c>
      <c r="E159" s="7">
        <v>0</v>
      </c>
      <c r="H159" s="5" t="str">
        <f t="shared" si="5"/>
        <v>MYN#MYN FX#XCCY#0</v>
      </c>
      <c r="I159">
        <v>0</v>
      </c>
    </row>
    <row r="160" spans="1:9">
      <c r="A160" t="s">
        <v>1</v>
      </c>
      <c r="B160" t="str">
        <f t="shared" si="4"/>
        <v>NZD</v>
      </c>
      <c r="C160" t="s">
        <v>42</v>
      </c>
      <c r="D160" t="s">
        <v>4</v>
      </c>
      <c r="E160">
        <v>0.25</v>
      </c>
      <c r="H160" s="5" t="str">
        <f t="shared" si="5"/>
        <v>NZD#NZD FX ARR#Yield#0.25</v>
      </c>
      <c r="I160">
        <v>-1549288.6395441184</v>
      </c>
    </row>
    <row r="161" spans="1:9">
      <c r="A161" t="s">
        <v>1</v>
      </c>
      <c r="B161" t="str">
        <f t="shared" si="4"/>
        <v>NZD</v>
      </c>
      <c r="C161" t="s">
        <v>42</v>
      </c>
      <c r="D161" t="s">
        <v>6</v>
      </c>
      <c r="E161" s="7">
        <v>0</v>
      </c>
      <c r="H161" s="5" t="str">
        <f t="shared" si="5"/>
        <v>NZD#NZD FX ARR#XCCY#0</v>
      </c>
      <c r="I161">
        <v>13652352.657553755</v>
      </c>
    </row>
    <row r="162" spans="1:9">
      <c r="A162" t="s">
        <v>1</v>
      </c>
      <c r="B162" t="str">
        <f t="shared" si="4"/>
        <v>NZD</v>
      </c>
      <c r="C162" t="s">
        <v>42</v>
      </c>
      <c r="D162" t="s">
        <v>4</v>
      </c>
      <c r="E162">
        <v>0.5</v>
      </c>
      <c r="H162" s="5" t="str">
        <f t="shared" si="5"/>
        <v>NZD#NZD FX ARR#Yield#0.5</v>
      </c>
      <c r="I162">
        <v>11383715.805124702</v>
      </c>
    </row>
    <row r="163" spans="1:9">
      <c r="A163" t="s">
        <v>1</v>
      </c>
      <c r="B163" t="str">
        <f t="shared" si="4"/>
        <v>NZD</v>
      </c>
      <c r="C163" t="s">
        <v>42</v>
      </c>
      <c r="D163" t="s">
        <v>4</v>
      </c>
      <c r="E163">
        <v>1</v>
      </c>
      <c r="H163" s="5" t="str">
        <f t="shared" si="5"/>
        <v>NZD#NZD FX ARR#Yield#1</v>
      </c>
      <c r="I163">
        <v>3817926.5027618748</v>
      </c>
    </row>
    <row r="164" spans="1:9">
      <c r="A164" t="s">
        <v>1</v>
      </c>
      <c r="B164" t="str">
        <f t="shared" si="4"/>
        <v>PHN</v>
      </c>
      <c r="C164" t="s">
        <v>43</v>
      </c>
      <c r="D164" t="s">
        <v>6</v>
      </c>
      <c r="E164" s="7">
        <v>0</v>
      </c>
      <c r="H164" s="5" t="str">
        <f t="shared" si="5"/>
        <v>PHN#PHN FX#XCCY#0</v>
      </c>
      <c r="I164">
        <v>2985.1016174999963</v>
      </c>
    </row>
    <row r="165" spans="1:9">
      <c r="A165" t="s">
        <v>1</v>
      </c>
      <c r="B165" t="str">
        <f t="shared" si="4"/>
        <v>SGD</v>
      </c>
      <c r="C165" t="s">
        <v>44</v>
      </c>
      <c r="D165" t="s">
        <v>4</v>
      </c>
      <c r="E165">
        <v>0.25</v>
      </c>
      <c r="H165" s="5" t="str">
        <f t="shared" si="5"/>
        <v>SGD#SGD FX ARR#Yield#0.25</v>
      </c>
      <c r="I165">
        <v>102921556.11241058</v>
      </c>
    </row>
    <row r="166" spans="1:9">
      <c r="A166" t="s">
        <v>1</v>
      </c>
      <c r="B166" t="str">
        <f t="shared" si="4"/>
        <v>SGD</v>
      </c>
      <c r="C166" t="s">
        <v>44</v>
      </c>
      <c r="D166" t="s">
        <v>4</v>
      </c>
      <c r="E166">
        <v>0.5</v>
      </c>
      <c r="H166" s="5" t="str">
        <f t="shared" si="5"/>
        <v>SGD#SGD FX ARR#Yield#0.5</v>
      </c>
      <c r="I166">
        <v>37017.47126882786</v>
      </c>
    </row>
    <row r="167" spans="1:9">
      <c r="A167" t="s">
        <v>1</v>
      </c>
      <c r="B167" t="str">
        <f t="shared" si="4"/>
        <v>SGD</v>
      </c>
      <c r="C167" t="s">
        <v>44</v>
      </c>
      <c r="D167" t="s">
        <v>6</v>
      </c>
      <c r="E167" s="7">
        <v>0</v>
      </c>
      <c r="H167" s="5" t="str">
        <f t="shared" si="5"/>
        <v>SGD#SGD FX ARR#XCCY#0</v>
      </c>
      <c r="I167">
        <v>102958573.58367875</v>
      </c>
    </row>
    <row r="168" spans="1:9">
      <c r="A168" t="s">
        <v>1</v>
      </c>
      <c r="B168" t="str">
        <f t="shared" si="4"/>
        <v>SGD</v>
      </c>
      <c r="C168" t="s">
        <v>45</v>
      </c>
      <c r="D168" t="s">
        <v>4</v>
      </c>
      <c r="E168">
        <v>1</v>
      </c>
      <c r="H168" s="5" t="str">
        <f t="shared" si="5"/>
        <v>SGD#SGD FX#Yield#1</v>
      </c>
      <c r="I168">
        <v>-43793.078309376142</v>
      </c>
    </row>
    <row r="169" spans="1:9">
      <c r="A169" t="s">
        <v>1</v>
      </c>
      <c r="B169" t="str">
        <f t="shared" si="4"/>
        <v>SGD</v>
      </c>
      <c r="C169" t="s">
        <v>45</v>
      </c>
      <c r="D169" t="s">
        <v>4</v>
      </c>
      <c r="E169">
        <v>2</v>
      </c>
      <c r="H169" s="5" t="str">
        <f t="shared" si="5"/>
        <v>SGD#SGD FX#Yield#2</v>
      </c>
      <c r="I169">
        <v>-49807.501646976634</v>
      </c>
    </row>
    <row r="170" spans="1:9">
      <c r="A170" t="s">
        <v>1</v>
      </c>
      <c r="B170" t="str">
        <f t="shared" si="4"/>
        <v>SGD</v>
      </c>
      <c r="C170" t="s">
        <v>45</v>
      </c>
      <c r="D170" t="s">
        <v>4</v>
      </c>
      <c r="E170">
        <v>0.25</v>
      </c>
      <c r="H170" s="5" t="str">
        <f t="shared" si="5"/>
        <v>SGD#SGD FX#Yield#0.25</v>
      </c>
      <c r="I170">
        <v>8636.8739182352965</v>
      </c>
    </row>
    <row r="171" spans="1:9">
      <c r="A171" t="s">
        <v>1</v>
      </c>
      <c r="B171" t="str">
        <f t="shared" si="4"/>
        <v>SGD</v>
      </c>
      <c r="C171" t="s">
        <v>45</v>
      </c>
      <c r="D171" t="s">
        <v>4</v>
      </c>
      <c r="E171">
        <v>0.5</v>
      </c>
      <c r="H171" s="5" t="str">
        <f t="shared" si="5"/>
        <v>SGD#SGD FX#Yield#0.5</v>
      </c>
      <c r="I171">
        <v>17286.255548823592</v>
      </c>
    </row>
    <row r="172" spans="1:9">
      <c r="A172" t="s">
        <v>1</v>
      </c>
      <c r="B172" t="str">
        <f t="shared" ref="B172:B229" si="6">LEFT(C172,3)</f>
        <v>SGD</v>
      </c>
      <c r="C172" t="s">
        <v>45</v>
      </c>
      <c r="D172" t="s">
        <v>6</v>
      </c>
      <c r="E172" s="7">
        <v>0</v>
      </c>
      <c r="H172" s="5" t="str">
        <f t="shared" si="5"/>
        <v>SGD#SGD FX#XCCY#0</v>
      </c>
      <c r="I172">
        <v>-67677.450487506576</v>
      </c>
    </row>
    <row r="173" spans="1:9">
      <c r="A173" t="s">
        <v>1</v>
      </c>
      <c r="B173" t="str">
        <f t="shared" si="6"/>
        <v>SGD</v>
      </c>
      <c r="C173" t="s">
        <v>46</v>
      </c>
      <c r="D173" t="s">
        <v>4</v>
      </c>
      <c r="E173">
        <v>1</v>
      </c>
      <c r="H173" s="5" t="str">
        <f t="shared" si="5"/>
        <v>SGD#SGD SOR 6M#Yield#1</v>
      </c>
      <c r="I173">
        <v>53771900.630527489</v>
      </c>
    </row>
    <row r="174" spans="1:9">
      <c r="A174" t="s">
        <v>1</v>
      </c>
      <c r="B174" t="str">
        <f t="shared" si="6"/>
        <v>SGD</v>
      </c>
      <c r="C174" t="s">
        <v>46</v>
      </c>
      <c r="D174" t="s">
        <v>4</v>
      </c>
      <c r="E174">
        <v>0.5</v>
      </c>
      <c r="H174" s="5" t="str">
        <f t="shared" si="5"/>
        <v>SGD#SGD SOR 6M#Yield#0.5</v>
      </c>
      <c r="I174">
        <v>-116601148.17215234</v>
      </c>
    </row>
    <row r="175" spans="1:9">
      <c r="A175" t="s">
        <v>1</v>
      </c>
      <c r="B175" t="str">
        <f t="shared" si="6"/>
        <v>SGD</v>
      </c>
      <c r="C175" t="s">
        <v>47</v>
      </c>
      <c r="D175" t="s">
        <v>4</v>
      </c>
      <c r="E175">
        <v>0.25</v>
      </c>
      <c r="H175" s="5" t="str">
        <f t="shared" si="5"/>
        <v>SGD#SGD SORA#Yield#0.25</v>
      </c>
      <c r="I175">
        <v>1303996.4272488228</v>
      </c>
    </row>
    <row r="176" spans="1:9">
      <c r="A176" t="s">
        <v>1</v>
      </c>
      <c r="B176" t="str">
        <f t="shared" si="6"/>
        <v>SGD</v>
      </c>
      <c r="C176" t="s">
        <v>47</v>
      </c>
      <c r="D176" t="s">
        <v>4</v>
      </c>
      <c r="E176">
        <v>3</v>
      </c>
      <c r="H176" s="5" t="str">
        <f t="shared" si="5"/>
        <v>SGD#SGD SORA#Yield#3</v>
      </c>
      <c r="I176">
        <v>487584517.29306251</v>
      </c>
    </row>
    <row r="177" spans="1:9">
      <c r="A177" t="s">
        <v>1</v>
      </c>
      <c r="B177" t="str">
        <f t="shared" si="6"/>
        <v>SGD</v>
      </c>
      <c r="C177" t="s">
        <v>46</v>
      </c>
      <c r="D177" t="s">
        <v>4</v>
      </c>
      <c r="E177">
        <v>2</v>
      </c>
      <c r="H177" s="5" t="str">
        <f t="shared" si="5"/>
        <v>SGD#SGD SOR 6M#Yield#2</v>
      </c>
      <c r="I177">
        <v>-257239159.58826011</v>
      </c>
    </row>
    <row r="178" spans="1:9">
      <c r="A178" t="s">
        <v>1</v>
      </c>
      <c r="B178" t="str">
        <f t="shared" si="6"/>
        <v>SGD</v>
      </c>
      <c r="C178" t="s">
        <v>47</v>
      </c>
      <c r="D178" t="s">
        <v>4</v>
      </c>
      <c r="E178">
        <v>10</v>
      </c>
      <c r="H178" s="5" t="str">
        <f t="shared" si="5"/>
        <v>SGD#SGD SORA#Yield#10</v>
      </c>
      <c r="I178">
        <v>45657611.486939989</v>
      </c>
    </row>
    <row r="179" spans="1:9">
      <c r="A179" t="s">
        <v>1</v>
      </c>
      <c r="B179" t="str">
        <f t="shared" si="6"/>
        <v>SGD</v>
      </c>
      <c r="C179" t="s">
        <v>47</v>
      </c>
      <c r="D179" t="s">
        <v>4</v>
      </c>
      <c r="E179">
        <v>1</v>
      </c>
      <c r="H179" s="5" t="str">
        <f t="shared" si="5"/>
        <v>SGD#SGD SORA#Yield#1</v>
      </c>
      <c r="I179">
        <v>-85139867.05665563</v>
      </c>
    </row>
    <row r="180" spans="1:9">
      <c r="A180" t="s">
        <v>1</v>
      </c>
      <c r="B180" t="str">
        <f t="shared" si="6"/>
        <v>SGD</v>
      </c>
      <c r="C180" t="s">
        <v>47</v>
      </c>
      <c r="D180" t="s">
        <v>4</v>
      </c>
      <c r="E180">
        <v>5</v>
      </c>
      <c r="H180" s="5" t="str">
        <f t="shared" si="5"/>
        <v>SGD#SGD SORA#Yield#5</v>
      </c>
      <c r="I180">
        <v>-395129559.90543276</v>
      </c>
    </row>
    <row r="181" spans="1:9">
      <c r="A181" t="s">
        <v>1</v>
      </c>
      <c r="B181" t="str">
        <f t="shared" si="6"/>
        <v>SGD</v>
      </c>
      <c r="C181" t="s">
        <v>46</v>
      </c>
      <c r="D181" t="s">
        <v>4</v>
      </c>
      <c r="E181">
        <v>0.25</v>
      </c>
      <c r="H181" s="5" t="str">
        <f t="shared" si="5"/>
        <v>SGD#SGD SOR 6M#Yield#0.25</v>
      </c>
      <c r="I181">
        <v>79351512.895908281</v>
      </c>
    </row>
    <row r="182" spans="1:9">
      <c r="A182" t="s">
        <v>1</v>
      </c>
      <c r="B182" t="str">
        <f t="shared" si="6"/>
        <v>SGD</v>
      </c>
      <c r="C182" t="s">
        <v>47</v>
      </c>
      <c r="D182" t="s">
        <v>4</v>
      </c>
      <c r="E182">
        <v>0.5</v>
      </c>
      <c r="H182" s="5" t="str">
        <f t="shared" si="5"/>
        <v>SGD#SGD SORA#Yield#0.5</v>
      </c>
      <c r="I182">
        <v>-12899747.444621176</v>
      </c>
    </row>
    <row r="183" spans="1:9">
      <c r="A183" t="s">
        <v>1</v>
      </c>
      <c r="B183" t="str">
        <f t="shared" si="6"/>
        <v>SGD</v>
      </c>
      <c r="C183" t="s">
        <v>47</v>
      </c>
      <c r="D183" t="s">
        <v>4</v>
      </c>
      <c r="E183">
        <v>2</v>
      </c>
      <c r="H183" s="5" t="str">
        <f t="shared" si="5"/>
        <v>SGD#SGD SORA#Yield#2</v>
      </c>
      <c r="I183">
        <v>387762067.6156916</v>
      </c>
    </row>
    <row r="184" spans="1:9">
      <c r="A184" t="s">
        <v>1</v>
      </c>
      <c r="B184" t="str">
        <f t="shared" si="6"/>
        <v>SGD</v>
      </c>
      <c r="C184" t="s">
        <v>46</v>
      </c>
      <c r="D184" t="s">
        <v>4</v>
      </c>
      <c r="E184">
        <v>3</v>
      </c>
      <c r="H184" s="5" t="str">
        <f t="shared" si="5"/>
        <v>SGD#SGD SOR 6M#Yield#3</v>
      </c>
      <c r="I184">
        <v>-495108164.21558791</v>
      </c>
    </row>
    <row r="185" spans="1:9">
      <c r="A185" t="s">
        <v>1</v>
      </c>
      <c r="B185" t="str">
        <f t="shared" si="6"/>
        <v>SGD</v>
      </c>
      <c r="C185" t="s">
        <v>46</v>
      </c>
      <c r="D185" t="s">
        <v>4</v>
      </c>
      <c r="E185">
        <v>5</v>
      </c>
      <c r="H185" s="5" t="str">
        <f t="shared" si="5"/>
        <v>SGD#SGD SOR 6M#Yield#5</v>
      </c>
      <c r="I185">
        <v>306213493.85555643</v>
      </c>
    </row>
    <row r="186" spans="1:9">
      <c r="A186" t="s">
        <v>1</v>
      </c>
      <c r="B186" t="str">
        <f t="shared" si="6"/>
        <v>SGD</v>
      </c>
      <c r="C186" t="s">
        <v>48</v>
      </c>
      <c r="D186" t="s">
        <v>4</v>
      </c>
      <c r="E186">
        <v>10</v>
      </c>
      <c r="H186" s="5" t="str">
        <f t="shared" si="5"/>
        <v>SGD#SGD SOR 3M#Yield#10</v>
      </c>
      <c r="I186">
        <v>0</v>
      </c>
    </row>
    <row r="187" spans="1:9">
      <c r="A187" t="s">
        <v>1</v>
      </c>
      <c r="B187" t="str">
        <f t="shared" si="6"/>
        <v>SGD</v>
      </c>
      <c r="C187" t="s">
        <v>48</v>
      </c>
      <c r="D187" t="s">
        <v>4</v>
      </c>
      <c r="E187">
        <v>1</v>
      </c>
      <c r="H187" s="5" t="str">
        <f t="shared" si="5"/>
        <v>SGD#SGD SOR 3M#Yield#1</v>
      </c>
      <c r="I187">
        <v>0</v>
      </c>
    </row>
    <row r="188" spans="1:9">
      <c r="A188" t="s">
        <v>1</v>
      </c>
      <c r="B188" t="str">
        <f t="shared" si="6"/>
        <v>SGD</v>
      </c>
      <c r="C188" t="s">
        <v>48</v>
      </c>
      <c r="D188" t="s">
        <v>4</v>
      </c>
      <c r="E188">
        <v>2</v>
      </c>
      <c r="H188" s="5" t="str">
        <f t="shared" si="5"/>
        <v>SGD#SGD SOR 3M#Yield#2</v>
      </c>
      <c r="I188">
        <v>0</v>
      </c>
    </row>
    <row r="189" spans="1:9">
      <c r="A189" t="s">
        <v>1</v>
      </c>
      <c r="B189" t="str">
        <f t="shared" si="6"/>
        <v>SGD</v>
      </c>
      <c r="C189" t="s">
        <v>48</v>
      </c>
      <c r="D189" t="s">
        <v>4</v>
      </c>
      <c r="E189">
        <v>0.25</v>
      </c>
      <c r="H189" s="5" t="str">
        <f t="shared" si="5"/>
        <v>SGD#SGD SOR 3M#Yield#0.25</v>
      </c>
      <c r="I189">
        <v>0</v>
      </c>
    </row>
    <row r="190" spans="1:9">
      <c r="A190" t="s">
        <v>1</v>
      </c>
      <c r="B190" t="str">
        <f t="shared" si="6"/>
        <v>SGD</v>
      </c>
      <c r="C190" t="s">
        <v>48</v>
      </c>
      <c r="D190" t="s">
        <v>4</v>
      </c>
      <c r="E190">
        <v>3</v>
      </c>
      <c r="H190" s="5" t="str">
        <f t="shared" si="5"/>
        <v>SGD#SGD SOR 3M#Yield#3</v>
      </c>
      <c r="I190">
        <v>0</v>
      </c>
    </row>
    <row r="191" spans="1:9">
      <c r="A191" t="s">
        <v>1</v>
      </c>
      <c r="B191" t="str">
        <f t="shared" si="6"/>
        <v>SGD</v>
      </c>
      <c r="C191" t="s">
        <v>48</v>
      </c>
      <c r="D191" t="s">
        <v>4</v>
      </c>
      <c r="E191">
        <v>5</v>
      </c>
      <c r="H191" s="5" t="str">
        <f t="shared" si="5"/>
        <v>SGD#SGD SOR 3M#Yield#5</v>
      </c>
      <c r="I191">
        <v>0</v>
      </c>
    </row>
    <row r="192" spans="1:9">
      <c r="A192" t="s">
        <v>1</v>
      </c>
      <c r="B192" t="str">
        <f t="shared" si="6"/>
        <v>SGD</v>
      </c>
      <c r="C192" t="s">
        <v>48</v>
      </c>
      <c r="D192" t="s">
        <v>4</v>
      </c>
      <c r="E192">
        <v>0.5</v>
      </c>
      <c r="H192" s="5" t="str">
        <f t="shared" si="5"/>
        <v>SGD#SGD SOR 3M#Yield#0.5</v>
      </c>
      <c r="I192">
        <v>0</v>
      </c>
    </row>
    <row r="193" spans="1:9">
      <c r="A193" t="s">
        <v>1</v>
      </c>
      <c r="B193" t="str">
        <f t="shared" si="6"/>
        <v>SGD</v>
      </c>
      <c r="C193" t="s">
        <v>46</v>
      </c>
      <c r="D193" t="s">
        <v>4</v>
      </c>
      <c r="E193">
        <v>10</v>
      </c>
      <c r="H193" s="5" t="str">
        <f t="shared" si="5"/>
        <v>SGD#SGD SOR 6M#Yield#10</v>
      </c>
      <c r="I193">
        <v>-29256843.082766134</v>
      </c>
    </row>
    <row r="194" spans="1:9">
      <c r="A194" t="s">
        <v>1</v>
      </c>
      <c r="B194" t="str">
        <f t="shared" si="6"/>
        <v>SGD</v>
      </c>
      <c r="C194" t="s">
        <v>44</v>
      </c>
      <c r="D194" t="s">
        <v>4</v>
      </c>
      <c r="E194">
        <v>1</v>
      </c>
      <c r="H194" s="5" t="str">
        <f t="shared" ref="H194:H238" si="7">IF($A194="Delta",_xlfn.TEXTJOIN("#",TRUE,$B194:$E194),IF($A194="Vega",_xlfn.TEXTJOIN("#",TRUE,$B194,$E194,$F194),$B194))</f>
        <v>SGD#SGD FX ARR#Yield#1</v>
      </c>
      <c r="I194">
        <v>0</v>
      </c>
    </row>
    <row r="195" spans="1:9">
      <c r="A195" t="s">
        <v>1</v>
      </c>
      <c r="B195" t="str">
        <f t="shared" si="6"/>
        <v>THB</v>
      </c>
      <c r="C195" t="s">
        <v>49</v>
      </c>
      <c r="D195" t="s">
        <v>6</v>
      </c>
      <c r="E195" s="7">
        <v>0</v>
      </c>
      <c r="H195" s="5" t="str">
        <f t="shared" si="7"/>
        <v>THB#THB FX#XCCY#0</v>
      </c>
      <c r="I195">
        <v>-17152010.784503765</v>
      </c>
    </row>
    <row r="196" spans="1:9">
      <c r="A196" t="s">
        <v>1</v>
      </c>
      <c r="B196" t="str">
        <f t="shared" si="6"/>
        <v>TWN</v>
      </c>
      <c r="C196" t="s">
        <v>50</v>
      </c>
      <c r="D196" t="s">
        <v>4</v>
      </c>
      <c r="E196">
        <v>0.25</v>
      </c>
      <c r="H196" s="5" t="str">
        <f t="shared" si="7"/>
        <v>TWN#TWN FX#Yield#0.25</v>
      </c>
      <c r="I196">
        <v>10373915.901977649</v>
      </c>
    </row>
    <row r="197" spans="1:9">
      <c r="A197" t="s">
        <v>1</v>
      </c>
      <c r="B197" t="str">
        <f t="shared" si="6"/>
        <v>TWN</v>
      </c>
      <c r="C197" t="s">
        <v>50</v>
      </c>
      <c r="D197" t="s">
        <v>4</v>
      </c>
      <c r="E197">
        <v>0.5</v>
      </c>
      <c r="H197" s="5" t="str">
        <f t="shared" si="7"/>
        <v>TWN#TWN FX#Yield#0.5</v>
      </c>
      <c r="I197">
        <v>-26454.223148823556</v>
      </c>
    </row>
    <row r="198" spans="1:9">
      <c r="A198" t="s">
        <v>1</v>
      </c>
      <c r="B198" t="str">
        <f t="shared" si="6"/>
        <v>TWN</v>
      </c>
      <c r="C198" t="s">
        <v>50</v>
      </c>
      <c r="D198" t="s">
        <v>6</v>
      </c>
      <c r="E198" s="7">
        <v>0</v>
      </c>
      <c r="H198" s="5" t="str">
        <f t="shared" si="7"/>
        <v>TWN#TWN FX#XCCY#0</v>
      </c>
      <c r="I198">
        <v>10347461.652761884</v>
      </c>
    </row>
    <row r="199" spans="1:9">
      <c r="A199" t="s">
        <v>1</v>
      </c>
      <c r="B199" t="str">
        <f t="shared" si="6"/>
        <v>USD</v>
      </c>
      <c r="C199" t="s">
        <v>51</v>
      </c>
      <c r="D199" t="s">
        <v>4</v>
      </c>
      <c r="E199">
        <v>10</v>
      </c>
      <c r="H199" s="5" t="str">
        <f t="shared" si="7"/>
        <v>USD#USD SOFR#Yield#10</v>
      </c>
      <c r="I199">
        <v>1179604591.2792602</v>
      </c>
    </row>
    <row r="200" spans="1:9">
      <c r="A200" t="s">
        <v>1</v>
      </c>
      <c r="B200" t="str">
        <f t="shared" si="6"/>
        <v>USD</v>
      </c>
      <c r="C200" t="s">
        <v>51</v>
      </c>
      <c r="D200" t="s">
        <v>4</v>
      </c>
      <c r="E200">
        <v>15</v>
      </c>
      <c r="H200" s="5" t="str">
        <f t="shared" si="7"/>
        <v>USD#USD SOFR#Yield#15</v>
      </c>
      <c r="I200">
        <v>162250454.50079292</v>
      </c>
    </row>
    <row r="201" spans="1:9">
      <c r="A201" t="s">
        <v>1</v>
      </c>
      <c r="B201" t="str">
        <f t="shared" si="6"/>
        <v>USD</v>
      </c>
      <c r="C201" t="s">
        <v>51</v>
      </c>
      <c r="D201" t="s">
        <v>4</v>
      </c>
      <c r="E201">
        <v>1</v>
      </c>
      <c r="H201" s="5" t="str">
        <f t="shared" si="7"/>
        <v>USD#USD SOFR#Yield#1</v>
      </c>
      <c r="I201">
        <v>-815477370.62026978</v>
      </c>
    </row>
    <row r="202" spans="1:9">
      <c r="A202" t="s">
        <v>1</v>
      </c>
      <c r="B202" t="str">
        <f t="shared" si="6"/>
        <v>USD</v>
      </c>
      <c r="C202" t="s">
        <v>51</v>
      </c>
      <c r="D202" t="s">
        <v>4</v>
      </c>
      <c r="E202">
        <v>20</v>
      </c>
      <c r="H202" s="5" t="str">
        <f t="shared" si="7"/>
        <v>USD#USD SOFR#Yield#20</v>
      </c>
      <c r="I202">
        <v>919529897.71983325</v>
      </c>
    </row>
    <row r="203" spans="1:9">
      <c r="A203" t="s">
        <v>1</v>
      </c>
      <c r="B203" t="str">
        <f t="shared" si="6"/>
        <v>USD</v>
      </c>
      <c r="C203" t="s">
        <v>51</v>
      </c>
      <c r="D203" t="s">
        <v>4</v>
      </c>
      <c r="E203">
        <v>2</v>
      </c>
      <c r="H203" s="5" t="str">
        <f t="shared" si="7"/>
        <v>USD#USD SOFR#Yield#2</v>
      </c>
      <c r="I203">
        <v>-1683807438.7189636</v>
      </c>
    </row>
    <row r="204" spans="1:9">
      <c r="A204" t="s">
        <v>1</v>
      </c>
      <c r="B204" t="str">
        <f t="shared" si="6"/>
        <v>USD</v>
      </c>
      <c r="C204" t="s">
        <v>51</v>
      </c>
      <c r="D204" t="s">
        <v>4</v>
      </c>
      <c r="E204">
        <v>30</v>
      </c>
      <c r="H204" s="5" t="str">
        <f t="shared" si="7"/>
        <v>USD#USD SOFR#Yield#30</v>
      </c>
      <c r="I204">
        <v>581081003.37741971</v>
      </c>
    </row>
    <row r="205" spans="1:9">
      <c r="A205" t="s">
        <v>1</v>
      </c>
      <c r="B205" t="str">
        <f t="shared" si="6"/>
        <v>USD</v>
      </c>
      <c r="C205" t="s">
        <v>51</v>
      </c>
      <c r="D205" t="s">
        <v>4</v>
      </c>
      <c r="E205">
        <v>0.25</v>
      </c>
      <c r="H205" s="5" t="str">
        <f t="shared" si="7"/>
        <v>USD#USD SOFR#Yield#0.25</v>
      </c>
      <c r="I205">
        <v>1853382047.7488198</v>
      </c>
    </row>
    <row r="206" spans="1:9">
      <c r="A206" t="s">
        <v>1</v>
      </c>
      <c r="B206" t="str">
        <f t="shared" si="6"/>
        <v>USD</v>
      </c>
      <c r="C206" t="s">
        <v>51</v>
      </c>
      <c r="D206" t="s">
        <v>4</v>
      </c>
      <c r="E206">
        <v>3</v>
      </c>
      <c r="H206" s="5" t="str">
        <f t="shared" si="7"/>
        <v>USD#USD SOFR#Yield#3</v>
      </c>
      <c r="I206">
        <v>-2181566655.2648687</v>
      </c>
    </row>
    <row r="207" spans="1:9">
      <c r="A207" t="s">
        <v>1</v>
      </c>
      <c r="B207" t="str">
        <f t="shared" si="6"/>
        <v>USD</v>
      </c>
      <c r="C207" t="s">
        <v>51</v>
      </c>
      <c r="D207" t="s">
        <v>4</v>
      </c>
      <c r="E207">
        <v>5</v>
      </c>
      <c r="H207" s="5" t="str">
        <f t="shared" si="7"/>
        <v>USD#USD SOFR#Yield#5</v>
      </c>
      <c r="I207">
        <v>1258643788.5776918</v>
      </c>
    </row>
    <row r="208" spans="1:9">
      <c r="A208" t="s">
        <v>1</v>
      </c>
      <c r="B208" t="str">
        <f t="shared" si="6"/>
        <v>USD</v>
      </c>
      <c r="C208" t="s">
        <v>51</v>
      </c>
      <c r="D208" t="s">
        <v>4</v>
      </c>
      <c r="E208">
        <v>0.5</v>
      </c>
      <c r="H208" s="5" t="str">
        <f t="shared" si="7"/>
        <v>USD#USD SOFR#Yield#0.5</v>
      </c>
      <c r="I208">
        <v>-1022280318.3043729</v>
      </c>
    </row>
    <row r="209" spans="1:9">
      <c r="A209" t="s">
        <v>1</v>
      </c>
      <c r="B209" t="str">
        <f t="shared" si="6"/>
        <v>USD</v>
      </c>
      <c r="C209" t="s">
        <v>52</v>
      </c>
      <c r="D209" t="s">
        <v>4</v>
      </c>
      <c r="E209">
        <v>0.25</v>
      </c>
      <c r="H209" s="5" t="str">
        <f t="shared" si="7"/>
        <v>USD#USD :STD#Yield#0.25</v>
      </c>
      <c r="I209">
        <v>540206.7104568471</v>
      </c>
    </row>
    <row r="210" spans="1:9">
      <c r="A210" t="s">
        <v>1</v>
      </c>
      <c r="B210" t="str">
        <f t="shared" si="6"/>
        <v>USD</v>
      </c>
      <c r="C210" t="s">
        <v>52</v>
      </c>
      <c r="D210" t="s">
        <v>4</v>
      </c>
      <c r="E210">
        <v>1</v>
      </c>
      <c r="H210" s="5" t="str">
        <f t="shared" si="7"/>
        <v>USD#USD :STD#Yield#1</v>
      </c>
      <c r="I210">
        <v>0</v>
      </c>
    </row>
    <row r="211" spans="1:9">
      <c r="A211" t="s">
        <v>1</v>
      </c>
      <c r="B211" t="str">
        <f t="shared" si="6"/>
        <v>USD</v>
      </c>
      <c r="C211" t="s">
        <v>52</v>
      </c>
      <c r="D211" t="s">
        <v>4</v>
      </c>
      <c r="E211">
        <v>2</v>
      </c>
      <c r="H211" s="5" t="str">
        <f t="shared" si="7"/>
        <v>USD#USD :STD#Yield#2</v>
      </c>
      <c r="I211">
        <v>-1.0859652222984266E-6</v>
      </c>
    </row>
    <row r="212" spans="1:9">
      <c r="A212" t="s">
        <v>1</v>
      </c>
      <c r="B212" t="str">
        <f t="shared" si="6"/>
        <v>USD</v>
      </c>
      <c r="C212" t="s">
        <v>52</v>
      </c>
      <c r="D212" t="s">
        <v>4</v>
      </c>
      <c r="E212">
        <v>3</v>
      </c>
      <c r="H212" s="5" t="str">
        <f t="shared" si="7"/>
        <v>USD#USD :STD#Yield#3</v>
      </c>
      <c r="I212">
        <v>0</v>
      </c>
    </row>
    <row r="213" spans="1:9">
      <c r="A213" t="s">
        <v>1</v>
      </c>
      <c r="B213" t="str">
        <f t="shared" si="6"/>
        <v>USD</v>
      </c>
      <c r="C213" t="s">
        <v>52</v>
      </c>
      <c r="D213" t="s">
        <v>4</v>
      </c>
      <c r="E213">
        <v>0.5</v>
      </c>
      <c r="H213" s="5" t="str">
        <f t="shared" si="7"/>
        <v>USD#USD :STD#Yield#0.5</v>
      </c>
      <c r="I213">
        <v>-8.3188153323414506E-7</v>
      </c>
    </row>
    <row r="214" spans="1:9">
      <c r="A214" t="s">
        <v>1</v>
      </c>
      <c r="B214" t="str">
        <f t="shared" si="6"/>
        <v>USD</v>
      </c>
      <c r="C214" t="s">
        <v>53</v>
      </c>
      <c r="D214" t="s">
        <v>4</v>
      </c>
      <c r="E214">
        <v>1</v>
      </c>
      <c r="H214" s="5" t="str">
        <f t="shared" si="7"/>
        <v>USD#USD LIBOR 3M#Yield#1</v>
      </c>
      <c r="I214">
        <v>-25963257.135146014</v>
      </c>
    </row>
    <row r="215" spans="1:9">
      <c r="A215" t="s">
        <v>1</v>
      </c>
      <c r="B215" t="str">
        <f t="shared" si="6"/>
        <v>USD</v>
      </c>
      <c r="C215" t="s">
        <v>53</v>
      </c>
      <c r="D215" t="s">
        <v>4</v>
      </c>
      <c r="E215">
        <v>2</v>
      </c>
      <c r="H215" s="5" t="str">
        <f t="shared" si="7"/>
        <v>USD#USD LIBOR 3M#Yield#2</v>
      </c>
      <c r="I215">
        <v>795982940.27163684</v>
      </c>
    </row>
    <row r="216" spans="1:9">
      <c r="A216" t="s">
        <v>1</v>
      </c>
      <c r="B216" t="str">
        <f t="shared" si="6"/>
        <v>USD</v>
      </c>
      <c r="C216" t="s">
        <v>53</v>
      </c>
      <c r="D216" t="s">
        <v>4</v>
      </c>
      <c r="E216">
        <v>0.25</v>
      </c>
      <c r="H216" s="5" t="str">
        <f t="shared" si="7"/>
        <v>USD#USD LIBOR 3M#Yield#0.25</v>
      </c>
      <c r="I216">
        <v>591193515.20424771</v>
      </c>
    </row>
    <row r="217" spans="1:9">
      <c r="A217" t="s">
        <v>1</v>
      </c>
      <c r="B217" t="str">
        <f t="shared" si="6"/>
        <v>USD</v>
      </c>
      <c r="C217" t="s">
        <v>53</v>
      </c>
      <c r="D217" t="s">
        <v>4</v>
      </c>
      <c r="E217">
        <v>0.5</v>
      </c>
      <c r="H217" s="5" t="str">
        <f t="shared" si="7"/>
        <v>USD#USD LIBOR 3M#Yield#0.5</v>
      </c>
      <c r="I217">
        <v>494317463.58333546</v>
      </c>
    </row>
    <row r="218" spans="1:9">
      <c r="A218" t="s">
        <v>1</v>
      </c>
      <c r="B218" t="str">
        <f t="shared" si="6"/>
        <v>USD</v>
      </c>
      <c r="C218" t="s">
        <v>54</v>
      </c>
      <c r="D218" t="s">
        <v>4</v>
      </c>
      <c r="E218">
        <v>0.25</v>
      </c>
      <c r="H218" s="5" t="str">
        <f t="shared" si="7"/>
        <v>USD#USD LIBOR 1M#Yield#0.25</v>
      </c>
      <c r="I218">
        <v>59312325.722677581</v>
      </c>
    </row>
    <row r="219" spans="1:9">
      <c r="A219" t="s">
        <v>1</v>
      </c>
      <c r="B219" t="str">
        <f t="shared" si="6"/>
        <v>USD</v>
      </c>
      <c r="C219" t="s">
        <v>54</v>
      </c>
      <c r="D219" t="s">
        <v>4</v>
      </c>
      <c r="E219">
        <v>0.5</v>
      </c>
      <c r="H219" s="5" t="str">
        <f t="shared" si="7"/>
        <v>USD#USD LIBOR 1M#Yield#0.5</v>
      </c>
      <c r="I219">
        <v>19418576.361775056</v>
      </c>
    </row>
    <row r="220" spans="1:9">
      <c r="A220" t="s">
        <v>1</v>
      </c>
      <c r="B220" t="str">
        <f t="shared" si="6"/>
        <v>USD</v>
      </c>
      <c r="C220" t="s">
        <v>53</v>
      </c>
      <c r="D220" t="s">
        <v>4</v>
      </c>
      <c r="E220">
        <v>3</v>
      </c>
      <c r="H220" s="5" t="str">
        <f t="shared" si="7"/>
        <v>USD#USD LIBOR 3M#Yield#3</v>
      </c>
      <c r="I220">
        <v>987229235.92598498</v>
      </c>
    </row>
    <row r="221" spans="1:9">
      <c r="A221" t="s">
        <v>1</v>
      </c>
      <c r="B221" t="str">
        <f t="shared" si="6"/>
        <v>USD</v>
      </c>
      <c r="C221" t="s">
        <v>54</v>
      </c>
      <c r="D221" t="s">
        <v>4</v>
      </c>
      <c r="E221">
        <v>1</v>
      </c>
      <c r="H221" s="5" t="str">
        <f t="shared" si="7"/>
        <v>USD#USD LIBOR 1M#Yield#1</v>
      </c>
      <c r="I221">
        <v>-192073809.9103227</v>
      </c>
    </row>
    <row r="222" spans="1:9">
      <c r="A222" t="s">
        <v>1</v>
      </c>
      <c r="B222" t="str">
        <f t="shared" si="6"/>
        <v>USD</v>
      </c>
      <c r="C222" t="s">
        <v>54</v>
      </c>
      <c r="D222" t="s">
        <v>4</v>
      </c>
      <c r="E222">
        <v>2</v>
      </c>
      <c r="H222" s="5" t="str">
        <f t="shared" si="7"/>
        <v>USD#USD LIBOR 1M#Yield#2</v>
      </c>
      <c r="I222">
        <v>60214279.874398142</v>
      </c>
    </row>
    <row r="223" spans="1:9">
      <c r="A223" t="s">
        <v>1</v>
      </c>
      <c r="B223" t="str">
        <f t="shared" si="6"/>
        <v>USD</v>
      </c>
      <c r="C223" t="s">
        <v>54</v>
      </c>
      <c r="D223" t="s">
        <v>4</v>
      </c>
      <c r="E223">
        <v>3</v>
      </c>
      <c r="H223" s="5" t="str">
        <f t="shared" si="7"/>
        <v>USD#USD LIBOR 1M#Yield#3</v>
      </c>
      <c r="I223">
        <v>51512219.682867602</v>
      </c>
    </row>
    <row r="224" spans="1:9">
      <c r="A224" t="s">
        <v>1</v>
      </c>
      <c r="B224" t="str">
        <f t="shared" si="6"/>
        <v>USD</v>
      </c>
      <c r="C224" t="s">
        <v>54</v>
      </c>
      <c r="D224" t="s">
        <v>4</v>
      </c>
      <c r="E224">
        <v>5</v>
      </c>
      <c r="H224" s="5" t="str">
        <f t="shared" si="7"/>
        <v>USD#USD LIBOR 1M#Yield#5</v>
      </c>
      <c r="I224">
        <v>364595.8585801429</v>
      </c>
    </row>
    <row r="225" spans="1:9">
      <c r="A225" t="s">
        <v>1</v>
      </c>
      <c r="B225" t="str">
        <f t="shared" si="6"/>
        <v>USD</v>
      </c>
      <c r="C225" t="s">
        <v>53</v>
      </c>
      <c r="D225" t="s">
        <v>4</v>
      </c>
      <c r="E225">
        <v>5</v>
      </c>
      <c r="H225" s="5" t="str">
        <f t="shared" si="7"/>
        <v>USD#USD LIBOR 3M#Yield#5</v>
      </c>
      <c r="I225">
        <v>303197123.17429459</v>
      </c>
    </row>
    <row r="226" spans="1:9">
      <c r="A226" t="s">
        <v>1</v>
      </c>
      <c r="B226" t="str">
        <f t="shared" si="6"/>
        <v>USD</v>
      </c>
      <c r="C226" t="s">
        <v>53</v>
      </c>
      <c r="D226" t="s">
        <v>4</v>
      </c>
      <c r="E226">
        <v>10</v>
      </c>
      <c r="H226" s="5" t="str">
        <f t="shared" si="7"/>
        <v>USD#USD LIBOR 3M#Yield#10</v>
      </c>
      <c r="I226">
        <v>4753755.3886520723</v>
      </c>
    </row>
    <row r="227" spans="1:9">
      <c r="A227" t="s">
        <v>1</v>
      </c>
      <c r="B227" t="str">
        <f t="shared" si="6"/>
        <v>USD</v>
      </c>
      <c r="C227" t="s">
        <v>53</v>
      </c>
      <c r="D227" t="s">
        <v>4</v>
      </c>
      <c r="E227">
        <v>20</v>
      </c>
      <c r="H227" s="5" t="str">
        <f t="shared" si="7"/>
        <v>USD#USD LIBOR 3M#Yield#20</v>
      </c>
      <c r="I227">
        <v>9517003.9338502027</v>
      </c>
    </row>
    <row r="228" spans="1:9">
      <c r="A228" t="s">
        <v>1</v>
      </c>
      <c r="B228" t="str">
        <f t="shared" si="6"/>
        <v>USD</v>
      </c>
      <c r="C228" t="s">
        <v>53</v>
      </c>
      <c r="D228" t="s">
        <v>4</v>
      </c>
      <c r="E228">
        <v>30</v>
      </c>
      <c r="H228" s="5" t="str">
        <f t="shared" si="7"/>
        <v>USD#USD LIBOR 3M#Yield#30</v>
      </c>
      <c r="I228">
        <v>26007695.739486378</v>
      </c>
    </row>
    <row r="229" spans="1:9">
      <c r="A229" t="s">
        <v>1</v>
      </c>
      <c r="B229" t="str">
        <f t="shared" si="6"/>
        <v>USD</v>
      </c>
      <c r="C229" t="s">
        <v>53</v>
      </c>
      <c r="D229" t="s">
        <v>4</v>
      </c>
      <c r="E229">
        <v>15</v>
      </c>
      <c r="H229" s="5" t="str">
        <f t="shared" si="7"/>
        <v>USD#USD LIBOR 3M#Yield#15</v>
      </c>
      <c r="I229">
        <v>11216888.159439707</v>
      </c>
    </row>
    <row r="230" spans="1:9">
      <c r="A230" t="s">
        <v>5</v>
      </c>
      <c r="B230" t="s">
        <v>29</v>
      </c>
      <c r="E230">
        <v>1</v>
      </c>
      <c r="F230">
        <v>0.5</v>
      </c>
      <c r="H230" s="5" t="str">
        <f t="shared" si="7"/>
        <v>HKD#1#0.5</v>
      </c>
      <c r="I230">
        <v>0</v>
      </c>
    </row>
    <row r="231" spans="1:9">
      <c r="A231" t="s">
        <v>5</v>
      </c>
      <c r="B231" t="s">
        <v>29</v>
      </c>
      <c r="E231">
        <v>0.5</v>
      </c>
      <c r="F231">
        <v>0.5</v>
      </c>
      <c r="H231" s="5" t="str">
        <f t="shared" si="7"/>
        <v>HKD#0.5#0.5</v>
      </c>
      <c r="I231">
        <v>0.90100000000000002</v>
      </c>
    </row>
    <row r="232" spans="1:9">
      <c r="A232" t="s">
        <v>5</v>
      </c>
      <c r="B232" t="s">
        <v>11</v>
      </c>
      <c r="E232">
        <v>0.5</v>
      </c>
      <c r="F232">
        <v>0.5</v>
      </c>
      <c r="H232" s="5" t="str">
        <f t="shared" si="7"/>
        <v>USD#0.5#0.5</v>
      </c>
      <c r="I232">
        <v>588.46100000000001</v>
      </c>
    </row>
    <row r="233" spans="1:9">
      <c r="A233" t="s">
        <v>5</v>
      </c>
      <c r="B233" t="s">
        <v>11</v>
      </c>
      <c r="E233">
        <v>1</v>
      </c>
      <c r="F233">
        <v>0.5</v>
      </c>
      <c r="H233" s="5" t="str">
        <f t="shared" si="7"/>
        <v>USD#1#0.5</v>
      </c>
      <c r="I233">
        <v>2000</v>
      </c>
    </row>
    <row r="234" spans="1:9">
      <c r="A234" t="s">
        <v>5</v>
      </c>
      <c r="B234" t="s">
        <v>11</v>
      </c>
      <c r="E234">
        <v>3</v>
      </c>
      <c r="F234">
        <v>0.5</v>
      </c>
      <c r="H234" s="5" t="str">
        <f t="shared" si="7"/>
        <v>USD#3#0.5</v>
      </c>
      <c r="I234">
        <v>3000</v>
      </c>
    </row>
    <row r="235" spans="1:9">
      <c r="A235" t="s">
        <v>8</v>
      </c>
      <c r="B235" t="s">
        <v>29</v>
      </c>
      <c r="G235" t="s">
        <v>9</v>
      </c>
      <c r="H235" s="5" t="str">
        <f t="shared" si="7"/>
        <v>HKD</v>
      </c>
      <c r="I235">
        <v>-5754.7970509999996</v>
      </c>
    </row>
    <row r="236" spans="1:9">
      <c r="A236" t="s">
        <v>8</v>
      </c>
      <c r="B236" t="s">
        <v>29</v>
      </c>
      <c r="G236" t="s">
        <v>10</v>
      </c>
      <c r="H236" s="5" t="str">
        <f t="shared" si="7"/>
        <v>HKD</v>
      </c>
      <c r="I236">
        <v>5796.9069817999998</v>
      </c>
    </row>
    <row r="237" spans="1:9">
      <c r="A237" t="s">
        <v>8</v>
      </c>
      <c r="B237" t="s">
        <v>11</v>
      </c>
      <c r="G237" t="s">
        <v>9</v>
      </c>
      <c r="H237" s="5" t="str">
        <f t="shared" si="7"/>
        <v>USD</v>
      </c>
      <c r="I237">
        <v>557549.60550466005</v>
      </c>
    </row>
    <row r="238" spans="1:9">
      <c r="A238" t="s">
        <v>8</v>
      </c>
      <c r="B238" t="s">
        <v>11</v>
      </c>
      <c r="G238" t="s">
        <v>10</v>
      </c>
      <c r="H238" s="5" t="str">
        <f t="shared" si="7"/>
        <v>USD</v>
      </c>
      <c r="I238">
        <v>-835341.86897076003</v>
      </c>
    </row>
  </sheetData>
  <autoFilter ref="A1:I229" xr:uid="{F47C5630-23C1-4861-9F03-C9296195FE1C}"/>
  <dataValidations count="10">
    <dataValidation type="whole" allowBlank="1" showInputMessage="1" showErrorMessage="1" sqref="V2:V37" xr:uid="{D5EEF455-74CD-7E45-B69C-0EBFF9274535}">
      <formula1>1</formula1>
      <formula2>25</formula2>
    </dataValidation>
    <dataValidation type="whole" allowBlank="1" showInputMessage="1" showErrorMessage="1" sqref="AO2:AO1048576" xr:uid="{1A27758C-156A-5A43-B325-58D4DB60FA48}">
      <formula1>1</formula1>
      <formula2>11</formula2>
    </dataValidation>
    <dataValidation type="whole" allowBlank="1" showInputMessage="1" showErrorMessage="1" sqref="AF2:AF1048576" xr:uid="{0A89B4DC-4918-544B-827E-781B6F6174ED}">
      <formula1>1</formula1>
      <formula2>13</formula2>
    </dataValidation>
    <dataValidation type="list" allowBlank="1" showInputMessage="1" showErrorMessage="1" sqref="E2:E1048576" xr:uid="{FCB7425E-F12A-D841-B56B-6637C7B2FB89}">
      <formula1>"0,0.25,0.5,1,2,3,5,10,15,20,30"</formula1>
    </dataValidation>
    <dataValidation type="list" allowBlank="1" showInputMessage="1" showErrorMessage="1" sqref="F2:F1048576 AY2:AY29999 AI2:AI1048576" xr:uid="{636CAC60-2049-FE4A-8859-B7F1923C2F5B}">
      <formula1>"0.5,1,3,5,10"</formula1>
    </dataValidation>
    <dataValidation type="list" allowBlank="1" showInputMessage="1" showErrorMessage="1" sqref="P2:P1048576 Z2:Z1048576 AZ2:AZ29999 AJ2:AJ1048576 AS2:AS1048576 G2:G1048576" xr:uid="{509D8918-C119-8941-8E29-7990ACB31C6D}">
      <formula1>"CVR+,CVR-"</formula1>
    </dataValidation>
    <dataValidation type="list" allowBlank="1" showInputMessage="1" showErrorMessage="1" sqref="N2:N1048576 X2:X1048576" xr:uid="{731A07B7-6413-574E-A42C-6D54A76ED49F}">
      <formula1>"0.25,0.5,1,2,3,5,10,15,20,30"</formula1>
    </dataValidation>
    <dataValidation type="textLength" operator="equal" allowBlank="1" showInputMessage="1" showErrorMessage="1" sqref="L2:L1048576 B2:B1048576 V38:V1048576" xr:uid="{5F437279-F3C1-5649-921D-0F3B28A4C77D}">
      <formula1>3</formula1>
    </dataValidation>
    <dataValidation type="list" allowBlank="1" showInputMessage="1" showErrorMessage="1" sqref="K2:K1048576 U2:U1048576 AE2:AE1048576 AW2:AW500000 AN2:AN1048576 A2:A1048576" xr:uid="{C5010249-3612-C145-9901-097086547A24}">
      <formula1>"Delta, Vega, CVR"</formula1>
    </dataValidation>
    <dataValidation type="list" allowBlank="1" showInputMessage="1" showErrorMessage="1" sqref="O2:O1048576 D2:D1048576 Y2:Y1048576" xr:uid="{D21FD1F8-A2F4-7F4A-8239-C5B6E6ABEFCA}">
      <formula1>"Yield,XCCY,Inflation"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5C71-C6DC-C644-9C98-4533A14A7109}">
  <sheetPr codeName="Sheet7"/>
  <dimension ref="A1:J108"/>
  <sheetViews>
    <sheetView tabSelected="1" zoomScale="138" workbookViewId="0">
      <selection activeCell="H19" sqref="H19"/>
    </sheetView>
  </sheetViews>
  <sheetFormatPr baseColWidth="10" defaultRowHeight="15"/>
  <sheetData>
    <row r="1" spans="1:10" ht="32">
      <c r="A1" s="11" t="s">
        <v>103</v>
      </c>
      <c r="B1" s="11" t="s">
        <v>104</v>
      </c>
      <c r="C1" s="11" t="s">
        <v>121</v>
      </c>
      <c r="D1" s="11" t="s">
        <v>106</v>
      </c>
      <c r="E1" s="11" t="s">
        <v>126</v>
      </c>
      <c r="F1" s="12" t="s">
        <v>105</v>
      </c>
      <c r="G1" s="12" t="s">
        <v>107</v>
      </c>
      <c r="H1" s="11" t="s">
        <v>108</v>
      </c>
      <c r="I1" s="11" t="s">
        <v>109</v>
      </c>
      <c r="J1" s="11" t="s">
        <v>110</v>
      </c>
    </row>
    <row r="2" spans="1:10">
      <c r="A2" t="s">
        <v>112</v>
      </c>
      <c r="B2" t="s">
        <v>117</v>
      </c>
      <c r="C2" t="s">
        <v>116</v>
      </c>
      <c r="D2" t="s">
        <v>64</v>
      </c>
      <c r="E2" s="13">
        <v>45853</v>
      </c>
      <c r="F2">
        <v>2</v>
      </c>
      <c r="G2" t="s">
        <v>119</v>
      </c>
      <c r="H2">
        <v>236580</v>
      </c>
      <c r="I2">
        <v>-13677.09251</v>
      </c>
      <c r="J2">
        <v>222902.90700000001</v>
      </c>
    </row>
    <row r="3" spans="1:10">
      <c r="A3">
        <v>89390656</v>
      </c>
      <c r="B3" t="s">
        <v>117</v>
      </c>
      <c r="C3" t="s">
        <v>118</v>
      </c>
      <c r="D3" t="s">
        <v>120</v>
      </c>
      <c r="E3" s="13"/>
      <c r="F3">
        <v>4</v>
      </c>
      <c r="G3" t="s">
        <v>119</v>
      </c>
      <c r="H3">
        <f>J3</f>
        <v>1770000</v>
      </c>
      <c r="I3">
        <v>0</v>
      </c>
      <c r="J3">
        <v>1770000</v>
      </c>
    </row>
    <row r="4" spans="1:10">
      <c r="A4">
        <v>22178368</v>
      </c>
      <c r="B4" t="s">
        <v>117</v>
      </c>
      <c r="C4" t="s">
        <v>118</v>
      </c>
      <c r="D4" t="s">
        <v>120</v>
      </c>
      <c r="E4" s="13"/>
      <c r="F4">
        <v>4</v>
      </c>
      <c r="G4" t="s">
        <v>119</v>
      </c>
      <c r="H4">
        <f t="shared" ref="H4:H6" si="0">J4</f>
        <v>1800000</v>
      </c>
      <c r="I4">
        <v>0</v>
      </c>
      <c r="J4">
        <v>1800000</v>
      </c>
    </row>
    <row r="5" spans="1:10">
      <c r="A5">
        <v>22099287</v>
      </c>
      <c r="B5" t="s">
        <v>117</v>
      </c>
      <c r="C5" s="10" t="s">
        <v>118</v>
      </c>
      <c r="D5" t="s">
        <v>120</v>
      </c>
      <c r="E5" s="13"/>
      <c r="F5">
        <v>4</v>
      </c>
      <c r="G5" t="s">
        <v>119</v>
      </c>
      <c r="H5">
        <f t="shared" si="0"/>
        <v>2875000</v>
      </c>
      <c r="I5">
        <v>0</v>
      </c>
      <c r="J5">
        <v>2875000</v>
      </c>
    </row>
    <row r="6" spans="1:10">
      <c r="A6">
        <v>23060541</v>
      </c>
      <c r="B6" t="s">
        <v>117</v>
      </c>
      <c r="C6" s="10" t="s">
        <v>118</v>
      </c>
      <c r="D6" t="s">
        <v>120</v>
      </c>
      <c r="E6" s="13"/>
      <c r="F6">
        <v>4</v>
      </c>
      <c r="G6" t="s">
        <v>119</v>
      </c>
      <c r="H6">
        <f t="shared" si="0"/>
        <v>2896000</v>
      </c>
      <c r="I6">
        <v>0</v>
      </c>
      <c r="J6">
        <v>2896000</v>
      </c>
    </row>
    <row r="7" spans="1:10">
      <c r="A7" t="s">
        <v>114</v>
      </c>
      <c r="B7" t="s">
        <v>115</v>
      </c>
      <c r="C7" t="s">
        <v>122</v>
      </c>
      <c r="D7" t="s">
        <v>64</v>
      </c>
      <c r="E7" s="13">
        <v>45703</v>
      </c>
      <c r="F7">
        <v>2</v>
      </c>
      <c r="G7" t="s">
        <v>119</v>
      </c>
      <c r="H7">
        <v>4700000</v>
      </c>
      <c r="I7">
        <v>41861.72363</v>
      </c>
      <c r="J7">
        <v>4741861.72</v>
      </c>
    </row>
    <row r="8" spans="1:10">
      <c r="A8">
        <v>22099202</v>
      </c>
      <c r="B8" t="s">
        <v>117</v>
      </c>
      <c r="C8" s="10" t="s">
        <v>124</v>
      </c>
      <c r="D8" t="s">
        <v>120</v>
      </c>
      <c r="E8" s="13"/>
      <c r="F8">
        <v>4</v>
      </c>
      <c r="G8" t="s">
        <v>125</v>
      </c>
      <c r="H8">
        <f t="shared" ref="H8:H11" si="1">J8</f>
        <v>15540000</v>
      </c>
      <c r="I8">
        <v>0</v>
      </c>
      <c r="J8">
        <v>15540000</v>
      </c>
    </row>
    <row r="9" spans="1:10">
      <c r="A9">
        <v>23638777</v>
      </c>
      <c r="B9" t="s">
        <v>117</v>
      </c>
      <c r="C9" s="10" t="s">
        <v>118</v>
      </c>
      <c r="D9" t="s">
        <v>120</v>
      </c>
      <c r="E9" s="13"/>
      <c r="F9">
        <v>4</v>
      </c>
      <c r="G9" t="s">
        <v>125</v>
      </c>
      <c r="H9">
        <f t="shared" si="1"/>
        <v>11176000</v>
      </c>
      <c r="I9">
        <v>0</v>
      </c>
      <c r="J9">
        <v>11176000</v>
      </c>
    </row>
    <row r="10" spans="1:10">
      <c r="A10">
        <v>11337775</v>
      </c>
      <c r="B10" t="s">
        <v>117</v>
      </c>
      <c r="C10" t="s">
        <v>118</v>
      </c>
      <c r="D10" t="s">
        <v>120</v>
      </c>
      <c r="E10" s="13"/>
      <c r="F10">
        <v>4</v>
      </c>
      <c r="G10" t="s">
        <v>119</v>
      </c>
      <c r="H10">
        <f t="shared" si="1"/>
        <v>12440000</v>
      </c>
      <c r="I10">
        <v>0</v>
      </c>
      <c r="J10">
        <v>12440000</v>
      </c>
    </row>
    <row r="11" spans="1:10">
      <c r="A11">
        <v>22099202</v>
      </c>
      <c r="B11" t="s">
        <v>117</v>
      </c>
      <c r="C11" s="10" t="s">
        <v>124</v>
      </c>
      <c r="D11" t="s">
        <v>120</v>
      </c>
      <c r="E11" s="13"/>
      <c r="F11">
        <v>4</v>
      </c>
      <c r="G11" t="s">
        <v>119</v>
      </c>
      <c r="H11">
        <f t="shared" si="1"/>
        <v>13809300</v>
      </c>
      <c r="I11">
        <v>0</v>
      </c>
      <c r="J11">
        <v>13809300</v>
      </c>
    </row>
    <row r="12" spans="1:10">
      <c r="A12" t="s">
        <v>111</v>
      </c>
      <c r="B12" t="s">
        <v>117</v>
      </c>
      <c r="C12" t="s">
        <v>123</v>
      </c>
      <c r="D12" t="s">
        <v>64</v>
      </c>
      <c r="E12" s="13">
        <v>46003</v>
      </c>
      <c r="F12">
        <v>1</v>
      </c>
      <c r="G12" t="s">
        <v>119</v>
      </c>
      <c r="H12">
        <v>129492000</v>
      </c>
      <c r="I12">
        <v>-11442.14775</v>
      </c>
      <c r="J12">
        <v>15070522.539999999</v>
      </c>
    </row>
    <row r="13" spans="1:10">
      <c r="A13" t="s">
        <v>113</v>
      </c>
      <c r="B13" t="s">
        <v>115</v>
      </c>
      <c r="C13" t="s">
        <v>116</v>
      </c>
      <c r="D13" t="s">
        <v>64</v>
      </c>
      <c r="E13" s="13">
        <v>46063</v>
      </c>
      <c r="F13">
        <v>3</v>
      </c>
      <c r="G13" t="s">
        <v>119</v>
      </c>
      <c r="H13">
        <v>3237300</v>
      </c>
      <c r="I13">
        <v>178067024</v>
      </c>
      <c r="J13">
        <v>181304324</v>
      </c>
    </row>
    <row r="14" spans="1:10">
      <c r="A14" t="s">
        <v>113</v>
      </c>
      <c r="B14" t="s">
        <v>115</v>
      </c>
      <c r="C14" t="s">
        <v>116</v>
      </c>
      <c r="D14" t="s">
        <v>64</v>
      </c>
      <c r="E14" s="13">
        <v>46123</v>
      </c>
      <c r="F14">
        <v>3</v>
      </c>
      <c r="G14" t="s">
        <v>119</v>
      </c>
      <c r="H14">
        <v>3237300</v>
      </c>
      <c r="I14">
        <v>207349349.19999999</v>
      </c>
      <c r="J14">
        <v>210586649.19999999</v>
      </c>
    </row>
    <row r="15" spans="1:10">
      <c r="A15" t="s">
        <v>113</v>
      </c>
      <c r="B15" t="s">
        <v>115</v>
      </c>
      <c r="C15" t="s">
        <v>116</v>
      </c>
      <c r="D15" t="s">
        <v>64</v>
      </c>
      <c r="E15" s="13">
        <v>46183</v>
      </c>
      <c r="F15">
        <v>2</v>
      </c>
      <c r="G15" t="s">
        <v>125</v>
      </c>
      <c r="H15">
        <v>6474600</v>
      </c>
      <c r="I15">
        <v>317469573.89999998</v>
      </c>
      <c r="J15">
        <v>323944173.89999998</v>
      </c>
    </row>
    <row r="16" spans="1:10">
      <c r="A16" t="s">
        <v>114</v>
      </c>
      <c r="B16" t="s">
        <v>115</v>
      </c>
      <c r="C16" t="s">
        <v>122</v>
      </c>
      <c r="D16" t="s">
        <v>64</v>
      </c>
      <c r="E16" s="13">
        <v>46243</v>
      </c>
      <c r="F16">
        <v>2</v>
      </c>
      <c r="G16" t="s">
        <v>119</v>
      </c>
      <c r="H16">
        <v>17110000000</v>
      </c>
      <c r="I16">
        <v>-988228328.29999995</v>
      </c>
      <c r="J16">
        <v>16121771672</v>
      </c>
    </row>
    <row r="17" spans="1:10">
      <c r="A17" t="s">
        <v>113</v>
      </c>
      <c r="B17" t="s">
        <v>115</v>
      </c>
      <c r="C17" t="s">
        <v>116</v>
      </c>
      <c r="D17" t="s">
        <v>64</v>
      </c>
      <c r="E17" s="13">
        <v>46183</v>
      </c>
      <c r="F17">
        <v>2</v>
      </c>
      <c r="G17" t="s">
        <v>125</v>
      </c>
      <c r="H17">
        <v>6474600</v>
      </c>
      <c r="I17">
        <v>0</v>
      </c>
      <c r="J17">
        <v>323944173.89999998</v>
      </c>
    </row>
    <row r="18" spans="1:10">
      <c r="A18" t="s">
        <v>111</v>
      </c>
      <c r="B18" t="s">
        <v>117</v>
      </c>
      <c r="C18" t="s">
        <v>123</v>
      </c>
      <c r="D18" t="s">
        <v>64</v>
      </c>
      <c r="E18" s="13">
        <v>46003</v>
      </c>
      <c r="F18">
        <v>2</v>
      </c>
      <c r="G18" t="s">
        <v>125</v>
      </c>
      <c r="H18">
        <v>100000</v>
      </c>
      <c r="I18">
        <v>-11442.14775</v>
      </c>
      <c r="J18">
        <v>15070522.539999999</v>
      </c>
    </row>
    <row r="19" spans="1:10">
      <c r="A19">
        <v>22099202</v>
      </c>
      <c r="B19" t="s">
        <v>117</v>
      </c>
      <c r="C19" s="10" t="s">
        <v>124</v>
      </c>
      <c r="D19" t="s">
        <v>64</v>
      </c>
      <c r="E19" s="13">
        <v>46183</v>
      </c>
      <c r="F19">
        <v>2</v>
      </c>
      <c r="G19" t="s">
        <v>119</v>
      </c>
      <c r="H19">
        <v>4700000</v>
      </c>
      <c r="I19">
        <v>12440000</v>
      </c>
      <c r="J19">
        <v>13809300</v>
      </c>
    </row>
    <row r="46" spans="2:2">
      <c r="B46" s="13"/>
    </row>
    <row r="108" spans="2:2">
      <c r="B108" s="14"/>
    </row>
  </sheetData>
  <sortState xmlns:xlrd2="http://schemas.microsoft.com/office/spreadsheetml/2017/richdata2" ref="A2:J16">
    <sortCondition ref="J2:J16"/>
  </sortState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E384-C341-E041-B6F3-2976CDC01B15}">
  <sheetPr codeName="Sheet3"/>
  <dimension ref="A1:H28"/>
  <sheetViews>
    <sheetView zoomScale="135" workbookViewId="0">
      <selection activeCell="H18" sqref="H18"/>
    </sheetView>
  </sheetViews>
  <sheetFormatPr baseColWidth="10" defaultRowHeight="15"/>
  <cols>
    <col min="1" max="1" width="8.83203125" bestFit="1" customWidth="1"/>
    <col min="2" max="2" width="8.5" bestFit="1" customWidth="1"/>
    <col min="3" max="3" width="10.1640625" bestFit="1" customWidth="1"/>
    <col min="4" max="4" width="5.5" bestFit="1" customWidth="1"/>
    <col min="5" max="5" width="9.33203125" bestFit="1" customWidth="1"/>
    <col min="6" max="6" width="9.1640625" bestFit="1" customWidth="1"/>
    <col min="7" max="7" width="19.1640625" bestFit="1" customWidth="1"/>
    <col min="8" max="8" width="30" bestFit="1" customWidth="1"/>
  </cols>
  <sheetData>
    <row r="1" spans="1:8">
      <c r="A1" s="2" t="s">
        <v>55</v>
      </c>
      <c r="B1" s="2" t="s">
        <v>60</v>
      </c>
      <c r="C1" s="2" t="s">
        <v>71</v>
      </c>
      <c r="D1" s="2" t="s">
        <v>58</v>
      </c>
      <c r="E1" s="2" t="s">
        <v>57</v>
      </c>
      <c r="F1" s="2" t="s">
        <v>0</v>
      </c>
      <c r="G1" s="2" t="s">
        <v>72</v>
      </c>
      <c r="H1" s="2" t="s">
        <v>61</v>
      </c>
    </row>
    <row r="2" spans="1:8">
      <c r="A2" t="s">
        <v>1</v>
      </c>
      <c r="B2">
        <v>1</v>
      </c>
      <c r="C2" t="s">
        <v>62</v>
      </c>
      <c r="D2">
        <v>3</v>
      </c>
      <c r="E2" t="s">
        <v>63</v>
      </c>
      <c r="H2">
        <v>1000</v>
      </c>
    </row>
    <row r="3" spans="1:8">
      <c r="A3" t="s">
        <v>1</v>
      </c>
      <c r="B3">
        <v>1</v>
      </c>
      <c r="C3" t="s">
        <v>62</v>
      </c>
      <c r="D3">
        <v>0.5</v>
      </c>
      <c r="E3" t="s">
        <v>64</v>
      </c>
      <c r="H3">
        <v>2000</v>
      </c>
    </row>
    <row r="4" spans="1:8">
      <c r="A4" t="s">
        <v>1</v>
      </c>
      <c r="B4">
        <v>1</v>
      </c>
      <c r="C4" t="s">
        <v>65</v>
      </c>
      <c r="D4">
        <v>5</v>
      </c>
      <c r="E4" t="s">
        <v>64</v>
      </c>
      <c r="H4">
        <v>3000</v>
      </c>
    </row>
    <row r="5" spans="1:8">
      <c r="A5" t="s">
        <v>1</v>
      </c>
      <c r="B5">
        <v>1</v>
      </c>
      <c r="C5" t="s">
        <v>65</v>
      </c>
      <c r="D5">
        <v>10</v>
      </c>
      <c r="E5" t="s">
        <v>64</v>
      </c>
      <c r="H5">
        <v>4000</v>
      </c>
    </row>
    <row r="6" spans="1:8">
      <c r="A6" t="s">
        <v>1</v>
      </c>
      <c r="B6">
        <v>16</v>
      </c>
      <c r="C6" t="s">
        <v>66</v>
      </c>
      <c r="D6">
        <v>0.5</v>
      </c>
      <c r="E6" t="s">
        <v>64</v>
      </c>
      <c r="H6">
        <v>5000</v>
      </c>
    </row>
    <row r="7" spans="1:8">
      <c r="A7" t="s">
        <v>1</v>
      </c>
      <c r="B7">
        <v>16</v>
      </c>
      <c r="C7" t="s">
        <v>67</v>
      </c>
      <c r="D7">
        <v>1</v>
      </c>
      <c r="E7" t="s">
        <v>64</v>
      </c>
      <c r="H7">
        <v>-6000</v>
      </c>
    </row>
    <row r="8" spans="1:8">
      <c r="A8" t="s">
        <v>1</v>
      </c>
      <c r="B8">
        <v>16</v>
      </c>
      <c r="C8" t="s">
        <v>68</v>
      </c>
      <c r="D8">
        <v>3</v>
      </c>
      <c r="E8" t="s">
        <v>64</v>
      </c>
      <c r="H8">
        <v>7000</v>
      </c>
    </row>
    <row r="9" spans="1:8">
      <c r="A9" t="s">
        <v>1</v>
      </c>
      <c r="B9">
        <v>16</v>
      </c>
      <c r="C9" t="s">
        <v>69</v>
      </c>
      <c r="D9">
        <v>5</v>
      </c>
      <c r="E9" t="s">
        <v>64</v>
      </c>
      <c r="H9">
        <v>-8000</v>
      </c>
    </row>
    <row r="10" spans="1:8">
      <c r="A10" t="s">
        <v>1</v>
      </c>
      <c r="B10">
        <v>16</v>
      </c>
      <c r="C10" t="s">
        <v>70</v>
      </c>
      <c r="D10">
        <v>10</v>
      </c>
      <c r="E10" t="s">
        <v>64</v>
      </c>
      <c r="H10">
        <v>9000</v>
      </c>
    </row>
    <row r="11" spans="1:8">
      <c r="A11" t="s">
        <v>5</v>
      </c>
      <c r="B11">
        <v>1</v>
      </c>
      <c r="C11" t="s">
        <v>62</v>
      </c>
      <c r="D11">
        <v>3</v>
      </c>
      <c r="H11">
        <v>100</v>
      </c>
    </row>
    <row r="12" spans="1:8">
      <c r="A12" t="s">
        <v>5</v>
      </c>
      <c r="B12">
        <v>1</v>
      </c>
      <c r="C12" t="s">
        <v>62</v>
      </c>
      <c r="D12">
        <v>0.5</v>
      </c>
      <c r="H12">
        <v>-200</v>
      </c>
    </row>
    <row r="13" spans="1:8">
      <c r="A13" t="s">
        <v>5</v>
      </c>
      <c r="B13">
        <v>1</v>
      </c>
      <c r="C13" t="s">
        <v>65</v>
      </c>
      <c r="D13">
        <v>5</v>
      </c>
      <c r="H13">
        <v>300</v>
      </c>
    </row>
    <row r="14" spans="1:8">
      <c r="A14" t="s">
        <v>5</v>
      </c>
      <c r="B14">
        <v>16</v>
      </c>
      <c r="C14" t="s">
        <v>66</v>
      </c>
      <c r="D14">
        <v>0.5</v>
      </c>
      <c r="H14">
        <v>-400</v>
      </c>
    </row>
    <row r="15" spans="1:8">
      <c r="A15" t="s">
        <v>5</v>
      </c>
      <c r="B15">
        <v>16</v>
      </c>
      <c r="C15" t="s">
        <v>67</v>
      </c>
      <c r="D15">
        <v>1</v>
      </c>
      <c r="H15">
        <v>500</v>
      </c>
    </row>
    <row r="16" spans="1:8">
      <c r="A16" t="s">
        <v>5</v>
      </c>
      <c r="B16">
        <v>16</v>
      </c>
      <c r="C16" t="s">
        <v>68</v>
      </c>
      <c r="D16">
        <v>3</v>
      </c>
      <c r="H16">
        <v>-600</v>
      </c>
    </row>
    <row r="17" spans="1:8">
      <c r="A17" t="s">
        <v>5</v>
      </c>
      <c r="B17">
        <v>16</v>
      </c>
      <c r="C17" t="s">
        <v>69</v>
      </c>
      <c r="D17">
        <v>5</v>
      </c>
      <c r="H17">
        <v>700</v>
      </c>
    </row>
    <row r="18" spans="1:8">
      <c r="A18" t="s">
        <v>5</v>
      </c>
      <c r="B18">
        <v>16</v>
      </c>
      <c r="C18" t="s">
        <v>70</v>
      </c>
      <c r="D18">
        <v>10</v>
      </c>
      <c r="H18">
        <v>-800</v>
      </c>
    </row>
    <row r="19" spans="1:8">
      <c r="A19" t="s">
        <v>8</v>
      </c>
      <c r="B19">
        <v>1</v>
      </c>
      <c r="C19" t="s">
        <v>62</v>
      </c>
      <c r="F19" t="s">
        <v>9</v>
      </c>
      <c r="H19">
        <v>-10</v>
      </c>
    </row>
    <row r="20" spans="1:8">
      <c r="A20" t="s">
        <v>8</v>
      </c>
      <c r="B20">
        <v>1</v>
      </c>
      <c r="C20" t="s">
        <v>62</v>
      </c>
      <c r="F20" t="s">
        <v>10</v>
      </c>
      <c r="H20">
        <v>20</v>
      </c>
    </row>
    <row r="21" spans="1:8">
      <c r="A21" t="s">
        <v>8</v>
      </c>
      <c r="B21">
        <v>1</v>
      </c>
      <c r="C21" t="s">
        <v>65</v>
      </c>
      <c r="F21" t="s">
        <v>9</v>
      </c>
      <c r="H21">
        <v>30</v>
      </c>
    </row>
    <row r="22" spans="1:8">
      <c r="A22" t="s">
        <v>8</v>
      </c>
      <c r="B22">
        <v>1</v>
      </c>
      <c r="C22" t="s">
        <v>65</v>
      </c>
      <c r="F22" t="s">
        <v>10</v>
      </c>
      <c r="H22">
        <v>-40</v>
      </c>
    </row>
    <row r="23" spans="1:8">
      <c r="A23" t="s">
        <v>8</v>
      </c>
      <c r="B23">
        <v>16</v>
      </c>
      <c r="C23" t="s">
        <v>69</v>
      </c>
      <c r="F23" t="s">
        <v>9</v>
      </c>
      <c r="H23">
        <v>-50</v>
      </c>
    </row>
    <row r="24" spans="1:8">
      <c r="A24" t="s">
        <v>8</v>
      </c>
      <c r="B24">
        <v>16</v>
      </c>
      <c r="C24" t="s">
        <v>69</v>
      </c>
      <c r="F24" t="s">
        <v>10</v>
      </c>
      <c r="H24">
        <v>-60</v>
      </c>
    </row>
    <row r="25" spans="1:8">
      <c r="A25" t="s">
        <v>8</v>
      </c>
      <c r="B25">
        <v>16</v>
      </c>
      <c r="C25" t="s">
        <v>67</v>
      </c>
      <c r="F25" t="s">
        <v>9</v>
      </c>
      <c r="H25">
        <v>-70</v>
      </c>
    </row>
    <row r="26" spans="1:8">
      <c r="A26" t="s">
        <v>8</v>
      </c>
      <c r="B26">
        <v>16</v>
      </c>
      <c r="C26" t="s">
        <v>67</v>
      </c>
      <c r="F26" t="s">
        <v>10</v>
      </c>
      <c r="H26">
        <v>-80</v>
      </c>
    </row>
    <row r="27" spans="1:8">
      <c r="A27" t="s">
        <v>8</v>
      </c>
      <c r="B27">
        <v>16</v>
      </c>
      <c r="C27" t="s">
        <v>69</v>
      </c>
      <c r="F27" t="s">
        <v>9</v>
      </c>
      <c r="H27">
        <v>90</v>
      </c>
    </row>
    <row r="28" spans="1:8">
      <c r="A28" t="s">
        <v>8</v>
      </c>
      <c r="B28">
        <v>16</v>
      </c>
      <c r="C28" t="s">
        <v>69</v>
      </c>
      <c r="F28" t="s">
        <v>10</v>
      </c>
      <c r="H28">
        <v>100</v>
      </c>
    </row>
  </sheetData>
  <dataValidations count="5">
    <dataValidation type="list" allowBlank="1" showInputMessage="1" showErrorMessage="1" sqref="F2:F28" xr:uid="{9BF77F58-3C5B-1E4C-AF3F-52D9B76329D6}">
      <formula1>"CVR+,CVR-"</formula1>
    </dataValidation>
    <dataValidation type="list" allowBlank="1" showInputMessage="1" showErrorMessage="1" sqref="D2:D28" xr:uid="{04275699-39BB-7D47-BC3A-A76DA59ACDBF}">
      <formula1>"0.25,0.5,1,2,3,5,10,15,20,30"</formula1>
    </dataValidation>
    <dataValidation type="textLength" operator="equal" allowBlank="1" showInputMessage="1" showErrorMessage="1" sqref="B2:B28" xr:uid="{1B3F8F96-2405-3648-B942-976157A9A94E}">
      <formula1>3</formula1>
    </dataValidation>
    <dataValidation type="list" allowBlank="1" showInputMessage="1" showErrorMessage="1" sqref="A2:A28" xr:uid="{B895462D-5C09-F846-A66F-8F3185DA710C}">
      <formula1>"Delta, Vega, CVR"</formula1>
    </dataValidation>
    <dataValidation type="list" allowBlank="1" showInputMessage="1" showErrorMessage="1" sqref="E2:E28" xr:uid="{729B6979-97FD-A640-8185-D3BAB2F24820}">
      <formula1>"Yield,XCCY,Inflation"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89D6-1A0D-DC4C-AAE1-7081B1ADC460}">
  <sheetPr codeName="Sheet4"/>
  <dimension ref="A1:H27"/>
  <sheetViews>
    <sheetView workbookViewId="0">
      <selection activeCell="H17" sqref="H17"/>
    </sheetView>
  </sheetViews>
  <sheetFormatPr baseColWidth="10" defaultRowHeight="15"/>
  <cols>
    <col min="1" max="1" width="8.83203125" bestFit="1" customWidth="1"/>
    <col min="2" max="2" width="8.5" bestFit="1" customWidth="1"/>
    <col min="3" max="3" width="15.33203125" bestFit="1" customWidth="1"/>
    <col min="4" max="4" width="5.5" bestFit="1" customWidth="1"/>
    <col min="5" max="5" width="9.33203125" bestFit="1" customWidth="1"/>
    <col min="6" max="6" width="9.1640625" bestFit="1" customWidth="1"/>
    <col min="7" max="7" width="19.1640625" bestFit="1" customWidth="1"/>
    <col min="8" max="8" width="30" bestFit="1" customWidth="1"/>
  </cols>
  <sheetData>
    <row r="1" spans="1:8">
      <c r="A1" s="2" t="s">
        <v>55</v>
      </c>
      <c r="B1" s="2" t="s">
        <v>60</v>
      </c>
      <c r="C1" s="2" t="s">
        <v>71</v>
      </c>
      <c r="D1" s="2" t="s">
        <v>58</v>
      </c>
      <c r="E1" s="2" t="s">
        <v>57</v>
      </c>
      <c r="F1" s="2" t="s">
        <v>0</v>
      </c>
      <c r="G1" s="2" t="s">
        <v>72</v>
      </c>
      <c r="H1" s="2" t="s">
        <v>61</v>
      </c>
    </row>
    <row r="2" spans="1:8">
      <c r="A2" t="s">
        <v>1</v>
      </c>
      <c r="B2">
        <v>1</v>
      </c>
      <c r="C2" t="s">
        <v>78</v>
      </c>
      <c r="D2">
        <v>3</v>
      </c>
      <c r="E2" t="s">
        <v>63</v>
      </c>
      <c r="H2">
        <v>1000</v>
      </c>
    </row>
    <row r="3" spans="1:8">
      <c r="A3" t="s">
        <v>1</v>
      </c>
      <c r="B3">
        <v>1</v>
      </c>
      <c r="C3" t="s">
        <v>78</v>
      </c>
      <c r="D3">
        <v>0.5</v>
      </c>
      <c r="E3" t="s">
        <v>64</v>
      </c>
      <c r="H3">
        <v>2000</v>
      </c>
    </row>
    <row r="4" spans="1:8">
      <c r="A4" t="s">
        <v>1</v>
      </c>
      <c r="B4">
        <v>1</v>
      </c>
      <c r="C4" t="s">
        <v>79</v>
      </c>
      <c r="D4">
        <v>5</v>
      </c>
      <c r="E4" t="s">
        <v>64</v>
      </c>
      <c r="H4">
        <v>3000</v>
      </c>
    </row>
    <row r="5" spans="1:8">
      <c r="A5" t="s">
        <v>1</v>
      </c>
      <c r="B5">
        <v>1</v>
      </c>
      <c r="C5" t="s">
        <v>80</v>
      </c>
      <c r="D5">
        <v>10</v>
      </c>
      <c r="E5" t="s">
        <v>64</v>
      </c>
      <c r="H5">
        <v>4000</v>
      </c>
    </row>
    <row r="6" spans="1:8">
      <c r="A6" t="s">
        <v>1</v>
      </c>
      <c r="B6">
        <v>25</v>
      </c>
      <c r="C6" t="s">
        <v>66</v>
      </c>
      <c r="D6">
        <v>0.5</v>
      </c>
      <c r="E6" t="s">
        <v>64</v>
      </c>
      <c r="H6">
        <v>5000</v>
      </c>
    </row>
    <row r="7" spans="1:8">
      <c r="A7" t="s">
        <v>1</v>
      </c>
      <c r="B7">
        <v>25</v>
      </c>
      <c r="C7" t="s">
        <v>67</v>
      </c>
      <c r="D7">
        <v>1</v>
      </c>
      <c r="E7" t="s">
        <v>64</v>
      </c>
      <c r="H7">
        <v>-6000</v>
      </c>
    </row>
    <row r="8" spans="1:8">
      <c r="A8" t="s">
        <v>1</v>
      </c>
      <c r="B8">
        <v>25</v>
      </c>
      <c r="C8" t="s">
        <v>68</v>
      </c>
      <c r="D8">
        <v>3</v>
      </c>
      <c r="E8" t="s">
        <v>64</v>
      </c>
      <c r="H8">
        <v>7000</v>
      </c>
    </row>
    <row r="9" spans="1:8">
      <c r="A9" t="s">
        <v>1</v>
      </c>
      <c r="B9">
        <v>25</v>
      </c>
      <c r="C9" t="s">
        <v>69</v>
      </c>
      <c r="D9">
        <v>5</v>
      </c>
      <c r="E9" t="s">
        <v>64</v>
      </c>
      <c r="H9">
        <v>-8000</v>
      </c>
    </row>
    <row r="10" spans="1:8">
      <c r="A10" t="s">
        <v>1</v>
      </c>
      <c r="B10">
        <v>25</v>
      </c>
      <c r="C10" t="s">
        <v>70</v>
      </c>
      <c r="D10">
        <v>10</v>
      </c>
      <c r="E10" t="s">
        <v>64</v>
      </c>
      <c r="H10">
        <v>9000</v>
      </c>
    </row>
    <row r="11" spans="1:8">
      <c r="A11" t="s">
        <v>5</v>
      </c>
      <c r="B11">
        <v>1</v>
      </c>
      <c r="C11" t="s">
        <v>78</v>
      </c>
      <c r="D11">
        <v>3</v>
      </c>
      <c r="H11">
        <v>100</v>
      </c>
    </row>
    <row r="12" spans="1:8">
      <c r="A12" t="s">
        <v>5</v>
      </c>
      <c r="B12">
        <v>1</v>
      </c>
      <c r="C12" t="s">
        <v>78</v>
      </c>
      <c r="D12">
        <v>0.5</v>
      </c>
      <c r="H12">
        <v>-200</v>
      </c>
    </row>
    <row r="13" spans="1:8">
      <c r="A13" t="s">
        <v>5</v>
      </c>
      <c r="B13">
        <v>1</v>
      </c>
      <c r="C13" t="s">
        <v>79</v>
      </c>
      <c r="D13">
        <v>5</v>
      </c>
      <c r="H13">
        <v>300</v>
      </c>
    </row>
    <row r="14" spans="1:8">
      <c r="A14" t="s">
        <v>5</v>
      </c>
      <c r="B14">
        <v>1</v>
      </c>
      <c r="C14" t="s">
        <v>80</v>
      </c>
      <c r="D14">
        <v>0.5</v>
      </c>
      <c r="H14">
        <v>-400</v>
      </c>
    </row>
    <row r="15" spans="1:8">
      <c r="A15" t="s">
        <v>5</v>
      </c>
      <c r="B15">
        <v>25</v>
      </c>
      <c r="C15" t="s">
        <v>66</v>
      </c>
      <c r="D15">
        <v>1</v>
      </c>
      <c r="H15">
        <v>500</v>
      </c>
    </row>
    <row r="16" spans="1:8">
      <c r="A16" t="s">
        <v>5</v>
      </c>
      <c r="B16">
        <v>25</v>
      </c>
      <c r="C16" t="s">
        <v>67</v>
      </c>
      <c r="D16">
        <v>3</v>
      </c>
      <c r="H16">
        <v>-600</v>
      </c>
    </row>
    <row r="17" spans="1:8">
      <c r="A17" t="s">
        <v>5</v>
      </c>
      <c r="B17">
        <v>25</v>
      </c>
      <c r="C17" t="s">
        <v>68</v>
      </c>
      <c r="D17">
        <v>5</v>
      </c>
      <c r="H17">
        <v>700</v>
      </c>
    </row>
    <row r="18" spans="1:8">
      <c r="A18" t="s">
        <v>5</v>
      </c>
      <c r="B18">
        <v>25</v>
      </c>
      <c r="C18" t="s">
        <v>69</v>
      </c>
      <c r="D18">
        <v>10</v>
      </c>
      <c r="H18">
        <v>-800</v>
      </c>
    </row>
    <row r="19" spans="1:8">
      <c r="A19" t="s">
        <v>5</v>
      </c>
      <c r="B19">
        <v>25</v>
      </c>
      <c r="C19" t="s">
        <v>70</v>
      </c>
      <c r="D19">
        <v>1</v>
      </c>
      <c r="H19">
        <v>10</v>
      </c>
    </row>
    <row r="20" spans="1:8">
      <c r="A20" t="s">
        <v>8</v>
      </c>
      <c r="B20">
        <v>1</v>
      </c>
      <c r="C20" t="s">
        <v>78</v>
      </c>
      <c r="F20" t="s">
        <v>9</v>
      </c>
      <c r="H20">
        <v>-20</v>
      </c>
    </row>
    <row r="21" spans="1:8">
      <c r="A21" t="s">
        <v>8</v>
      </c>
      <c r="B21">
        <v>1</v>
      </c>
      <c r="C21" t="s">
        <v>78</v>
      </c>
      <c r="F21" t="s">
        <v>10</v>
      </c>
      <c r="H21">
        <v>-30</v>
      </c>
    </row>
    <row r="22" spans="1:8">
      <c r="A22" t="s">
        <v>8</v>
      </c>
      <c r="B22">
        <v>1</v>
      </c>
      <c r="C22" t="s">
        <v>79</v>
      </c>
      <c r="F22" t="s">
        <v>9</v>
      </c>
      <c r="H22">
        <v>40</v>
      </c>
    </row>
    <row r="23" spans="1:8">
      <c r="A23" t="s">
        <v>8</v>
      </c>
      <c r="B23">
        <v>1</v>
      </c>
      <c r="C23" t="s">
        <v>80</v>
      </c>
      <c r="F23" t="s">
        <v>10</v>
      </c>
      <c r="H23">
        <v>50</v>
      </c>
    </row>
    <row r="24" spans="1:8">
      <c r="A24" t="s">
        <v>8</v>
      </c>
      <c r="B24">
        <v>25</v>
      </c>
      <c r="C24" t="s">
        <v>66</v>
      </c>
      <c r="F24" t="s">
        <v>9</v>
      </c>
      <c r="H24">
        <v>60</v>
      </c>
    </row>
    <row r="25" spans="1:8">
      <c r="A25" t="s">
        <v>8</v>
      </c>
      <c r="B25">
        <v>25</v>
      </c>
      <c r="C25" t="s">
        <v>67</v>
      </c>
      <c r="F25" t="s">
        <v>10</v>
      </c>
      <c r="H25">
        <v>70</v>
      </c>
    </row>
    <row r="26" spans="1:8">
      <c r="A26" t="s">
        <v>8</v>
      </c>
      <c r="B26">
        <v>25</v>
      </c>
      <c r="C26" t="s">
        <v>68</v>
      </c>
      <c r="F26" t="s">
        <v>9</v>
      </c>
      <c r="H26">
        <v>80</v>
      </c>
    </row>
    <row r="27" spans="1:8">
      <c r="A27" t="s">
        <v>8</v>
      </c>
      <c r="B27">
        <v>25</v>
      </c>
      <c r="C27" t="s">
        <v>69</v>
      </c>
      <c r="F27" t="s">
        <v>10</v>
      </c>
      <c r="H27">
        <v>-90</v>
      </c>
    </row>
  </sheetData>
  <dataValidations count="5">
    <dataValidation type="whole" allowBlank="1" showInputMessage="1" showErrorMessage="1" sqref="B2:B27" xr:uid="{4F97E11E-0D75-F14A-A6AD-BB9EED6F6382}">
      <formula1>1</formula1>
      <formula2>25</formula2>
    </dataValidation>
    <dataValidation type="list" allowBlank="1" showInputMessage="1" showErrorMessage="1" sqref="F2:F27" xr:uid="{A486491B-0335-054C-A6AE-E9F1A2CB210D}">
      <formula1>"CVR+,CVR-"</formula1>
    </dataValidation>
    <dataValidation type="list" allowBlank="1" showInputMessage="1" showErrorMessage="1" sqref="D2:D27" xr:uid="{91E9F09D-3B93-6B4B-8B30-F10665D2AC58}">
      <formula1>"0.25,0.5,1,2,3,5,10,15,20,30"</formula1>
    </dataValidation>
    <dataValidation type="list" allowBlank="1" showInputMessage="1" showErrorMessage="1" sqref="A2:A27" xr:uid="{660AFA0D-547A-4A4F-A03E-D75FA87058B2}">
      <formula1>"Delta, Vega, CVR"</formula1>
    </dataValidation>
    <dataValidation type="list" allowBlank="1" showInputMessage="1" showErrorMessage="1" sqref="E2:E27" xr:uid="{5CE9D3AE-D268-024D-B52D-57747E83F4CB}">
      <formula1>"Yield,XCCY,Inflation"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8908-A376-5F47-BE12-08C901578332}">
  <sheetPr codeName="Sheet5"/>
  <dimension ref="A1:G31"/>
  <sheetViews>
    <sheetView workbookViewId="0">
      <selection activeCell="G2" sqref="G2:G31"/>
    </sheetView>
  </sheetViews>
  <sheetFormatPr baseColWidth="10" defaultRowHeight="15"/>
  <cols>
    <col min="1" max="1" width="8.83203125" bestFit="1" customWidth="1"/>
    <col min="2" max="2" width="8.5" bestFit="1" customWidth="1"/>
    <col min="3" max="3" width="24.83203125" bestFit="1" customWidth="1"/>
    <col min="4" max="4" width="8.6640625" bestFit="1" customWidth="1"/>
    <col min="5" max="5" width="5.5" bestFit="1" customWidth="1"/>
    <col min="6" max="6" width="9.1640625" bestFit="1" customWidth="1"/>
    <col min="7" max="7" width="30" bestFit="1" customWidth="1"/>
  </cols>
  <sheetData>
    <row r="1" spans="1:7" ht="32">
      <c r="A1" s="2" t="s">
        <v>55</v>
      </c>
      <c r="B1" s="2" t="s">
        <v>60</v>
      </c>
      <c r="C1" s="2" t="s">
        <v>90</v>
      </c>
      <c r="D1" s="8" t="s">
        <v>102</v>
      </c>
      <c r="E1" s="8" t="s">
        <v>58</v>
      </c>
      <c r="F1" s="9" t="s">
        <v>0</v>
      </c>
      <c r="G1" s="2" t="s">
        <v>61</v>
      </c>
    </row>
    <row r="2" spans="1:7">
      <c r="A2" s="10" t="s">
        <v>1</v>
      </c>
      <c r="B2" s="10">
        <v>4</v>
      </c>
      <c r="C2" s="10" t="s">
        <v>81</v>
      </c>
      <c r="D2" s="10" t="s">
        <v>82</v>
      </c>
      <c r="E2" s="10"/>
      <c r="F2" s="10"/>
      <c r="G2" s="10">
        <v>10000</v>
      </c>
    </row>
    <row r="3" spans="1:7">
      <c r="A3" s="10" t="s">
        <v>1</v>
      </c>
      <c r="B3" s="10">
        <v>4</v>
      </c>
      <c r="C3" s="10" t="s">
        <v>81</v>
      </c>
      <c r="D3" s="10" t="s">
        <v>83</v>
      </c>
      <c r="E3" s="10"/>
      <c r="F3" s="10"/>
      <c r="G3" s="10">
        <v>5000</v>
      </c>
    </row>
    <row r="4" spans="1:7">
      <c r="A4" s="10" t="s">
        <v>1</v>
      </c>
      <c r="B4" s="10">
        <v>4</v>
      </c>
      <c r="C4" s="10" t="s">
        <v>84</v>
      </c>
      <c r="D4" s="10" t="s">
        <v>82</v>
      </c>
      <c r="E4" s="10"/>
      <c r="F4" s="10"/>
      <c r="G4" s="10">
        <v>25000</v>
      </c>
    </row>
    <row r="5" spans="1:7">
      <c r="A5" s="10" t="s">
        <v>1</v>
      </c>
      <c r="B5" s="10">
        <v>4</v>
      </c>
      <c r="C5" s="10" t="s">
        <v>85</v>
      </c>
      <c r="D5" s="10" t="s">
        <v>83</v>
      </c>
      <c r="E5" s="10"/>
      <c r="F5" s="10"/>
      <c r="G5" s="10">
        <v>20000</v>
      </c>
    </row>
    <row r="6" spans="1:7">
      <c r="A6" s="10" t="s">
        <v>1</v>
      </c>
      <c r="B6" s="10">
        <v>11</v>
      </c>
      <c r="C6" s="10" t="s">
        <v>86</v>
      </c>
      <c r="D6" s="10" t="s">
        <v>82</v>
      </c>
      <c r="E6" s="10"/>
      <c r="F6" s="10"/>
      <c r="G6" s="10">
        <v>-58572</v>
      </c>
    </row>
    <row r="7" spans="1:7">
      <c r="A7" s="10" t="s">
        <v>1</v>
      </c>
      <c r="B7" s="10">
        <v>11</v>
      </c>
      <c r="C7" s="10" t="s">
        <v>87</v>
      </c>
      <c r="D7" s="10" t="s">
        <v>82</v>
      </c>
      <c r="E7" s="10"/>
      <c r="F7" s="10"/>
      <c r="G7" s="10">
        <v>84596</v>
      </c>
    </row>
    <row r="8" spans="1:7">
      <c r="A8" s="10" t="s">
        <v>1</v>
      </c>
      <c r="B8" s="10">
        <v>11</v>
      </c>
      <c r="C8" s="10" t="s">
        <v>88</v>
      </c>
      <c r="D8" s="10" t="s">
        <v>82</v>
      </c>
      <c r="E8" s="10"/>
      <c r="F8" s="10"/>
      <c r="G8" s="10">
        <v>-71092</v>
      </c>
    </row>
    <row r="9" spans="1:7">
      <c r="A9" s="10" t="s">
        <v>1</v>
      </c>
      <c r="B9" s="10">
        <v>11</v>
      </c>
      <c r="C9" s="10" t="s">
        <v>89</v>
      </c>
      <c r="D9" s="10" t="s">
        <v>82</v>
      </c>
      <c r="E9" s="10"/>
      <c r="F9" s="10"/>
      <c r="G9" s="10">
        <v>88253</v>
      </c>
    </row>
    <row r="10" spans="1:7">
      <c r="A10" s="10" t="s">
        <v>5</v>
      </c>
      <c r="B10" s="10">
        <v>4</v>
      </c>
      <c r="C10" s="10" t="s">
        <v>81</v>
      </c>
      <c r="D10" s="10" t="s">
        <v>82</v>
      </c>
      <c r="E10" s="10">
        <v>0.5</v>
      </c>
      <c r="F10" s="10"/>
      <c r="G10" s="10">
        <v>-17038</v>
      </c>
    </row>
    <row r="11" spans="1:7">
      <c r="A11" s="10" t="s">
        <v>5</v>
      </c>
      <c r="B11" s="10">
        <v>4</v>
      </c>
      <c r="C11" s="10" t="s">
        <v>81</v>
      </c>
      <c r="D11" s="10" t="s">
        <v>82</v>
      </c>
      <c r="E11" s="10">
        <v>1</v>
      </c>
      <c r="F11" s="10"/>
      <c r="G11" s="10">
        <v>-32244</v>
      </c>
    </row>
    <row r="12" spans="1:7">
      <c r="A12" s="10" t="s">
        <v>5</v>
      </c>
      <c r="B12" s="10">
        <v>4</v>
      </c>
      <c r="C12" s="10" t="s">
        <v>84</v>
      </c>
      <c r="D12" s="10" t="s">
        <v>82</v>
      </c>
      <c r="E12" s="10">
        <v>0.5</v>
      </c>
      <c r="F12" s="10"/>
      <c r="G12" s="10">
        <v>5146</v>
      </c>
    </row>
    <row r="13" spans="1:7">
      <c r="A13" s="10" t="s">
        <v>5</v>
      </c>
      <c r="B13" s="10">
        <v>4</v>
      </c>
      <c r="C13" s="10" t="s">
        <v>85</v>
      </c>
      <c r="D13" s="10" t="s">
        <v>82</v>
      </c>
      <c r="E13" s="10">
        <v>3</v>
      </c>
      <c r="F13" s="10"/>
      <c r="G13" s="10">
        <v>17882</v>
      </c>
    </row>
    <row r="14" spans="1:7">
      <c r="A14" s="10" t="s">
        <v>5</v>
      </c>
      <c r="B14" s="10">
        <v>11</v>
      </c>
      <c r="C14" s="10" t="s">
        <v>86</v>
      </c>
      <c r="D14" s="10" t="s">
        <v>82</v>
      </c>
      <c r="E14" s="10">
        <v>10</v>
      </c>
      <c r="F14" s="10"/>
      <c r="G14" s="10">
        <v>46689</v>
      </c>
    </row>
    <row r="15" spans="1:7">
      <c r="A15" s="10" t="s">
        <v>5</v>
      </c>
      <c r="B15" s="10">
        <v>11</v>
      </c>
      <c r="C15" s="10" t="s">
        <v>87</v>
      </c>
      <c r="D15" s="10" t="s">
        <v>82</v>
      </c>
      <c r="E15" s="10">
        <v>5</v>
      </c>
      <c r="F15" s="10"/>
      <c r="G15" s="10">
        <v>-83221</v>
      </c>
    </row>
    <row r="16" spans="1:7">
      <c r="A16" s="10" t="s">
        <v>5</v>
      </c>
      <c r="B16" s="10">
        <v>11</v>
      </c>
      <c r="C16" s="10" t="s">
        <v>88</v>
      </c>
      <c r="D16" s="10" t="s">
        <v>82</v>
      </c>
      <c r="E16" s="10">
        <v>1</v>
      </c>
      <c r="F16" s="10"/>
      <c r="G16" s="10">
        <v>98780</v>
      </c>
    </row>
    <row r="17" spans="1:7">
      <c r="A17" s="10" t="s">
        <v>5</v>
      </c>
      <c r="B17" s="10">
        <v>11</v>
      </c>
      <c r="C17" s="10" t="s">
        <v>89</v>
      </c>
      <c r="D17" s="10" t="s">
        <v>82</v>
      </c>
      <c r="E17" s="10">
        <v>3</v>
      </c>
      <c r="F17" s="10"/>
      <c r="G17" s="10">
        <v>-78636</v>
      </c>
    </row>
    <row r="18" spans="1:7">
      <c r="A18" s="10" t="s">
        <v>8</v>
      </c>
      <c r="B18" s="10">
        <v>4</v>
      </c>
      <c r="C18" s="10" t="s">
        <v>81</v>
      </c>
      <c r="D18" s="10" t="s">
        <v>82</v>
      </c>
      <c r="E18" s="10"/>
      <c r="F18" s="10" t="s">
        <v>9</v>
      </c>
      <c r="G18" s="10">
        <v>-3055</v>
      </c>
    </row>
    <row r="19" spans="1:7">
      <c r="A19" s="10" t="s">
        <v>8</v>
      </c>
      <c r="B19" s="10">
        <v>4</v>
      </c>
      <c r="C19" s="10" t="s">
        <v>81</v>
      </c>
      <c r="D19" s="10" t="s">
        <v>82</v>
      </c>
      <c r="E19" s="10"/>
      <c r="F19" s="10" t="s">
        <v>10</v>
      </c>
      <c r="G19" s="10">
        <v>-91086</v>
      </c>
    </row>
    <row r="20" spans="1:7">
      <c r="A20" s="10" t="s">
        <v>8</v>
      </c>
      <c r="B20" s="10">
        <v>4</v>
      </c>
      <c r="C20" s="10" t="s">
        <v>84</v>
      </c>
      <c r="D20" s="10" t="s">
        <v>82</v>
      </c>
      <c r="E20" s="10"/>
      <c r="F20" s="10" t="s">
        <v>9</v>
      </c>
      <c r="G20" s="10">
        <v>-52329</v>
      </c>
    </row>
    <row r="21" spans="1:7">
      <c r="A21" s="10" t="s">
        <v>8</v>
      </c>
      <c r="B21" s="10">
        <v>4</v>
      </c>
      <c r="C21" s="10" t="s">
        <v>84</v>
      </c>
      <c r="D21" s="10" t="s">
        <v>82</v>
      </c>
      <c r="E21" s="10"/>
      <c r="F21" s="10" t="s">
        <v>10</v>
      </c>
      <c r="G21" s="10">
        <v>-75001</v>
      </c>
    </row>
    <row r="22" spans="1:7">
      <c r="A22" s="10" t="s">
        <v>8</v>
      </c>
      <c r="B22" s="10">
        <v>4</v>
      </c>
      <c r="C22" s="10" t="s">
        <v>85</v>
      </c>
      <c r="D22" s="10" t="s">
        <v>82</v>
      </c>
      <c r="E22" s="10"/>
      <c r="F22" s="10" t="s">
        <v>9</v>
      </c>
      <c r="G22" s="10">
        <v>58499</v>
      </c>
    </row>
    <row r="23" spans="1:7">
      <c r="A23" s="10" t="s">
        <v>8</v>
      </c>
      <c r="B23" s="10">
        <v>4</v>
      </c>
      <c r="C23" s="10" t="s">
        <v>85</v>
      </c>
      <c r="D23" s="10" t="s">
        <v>82</v>
      </c>
      <c r="E23" s="10"/>
      <c r="F23" s="10" t="s">
        <v>10</v>
      </c>
      <c r="G23" s="10">
        <v>-21130</v>
      </c>
    </row>
    <row r="24" spans="1:7">
      <c r="A24" s="10" t="s">
        <v>8</v>
      </c>
      <c r="B24" s="10">
        <v>11</v>
      </c>
      <c r="C24" s="10" t="s">
        <v>86</v>
      </c>
      <c r="D24" s="10" t="s">
        <v>82</v>
      </c>
      <c r="E24" s="10"/>
      <c r="F24" s="10" t="s">
        <v>9</v>
      </c>
      <c r="G24" s="10">
        <v>-14798</v>
      </c>
    </row>
    <row r="25" spans="1:7">
      <c r="A25" s="10" t="s">
        <v>8</v>
      </c>
      <c r="B25" s="10">
        <v>11</v>
      </c>
      <c r="C25" s="10" t="s">
        <v>86</v>
      </c>
      <c r="D25" s="10" t="s">
        <v>82</v>
      </c>
      <c r="E25" s="10"/>
      <c r="F25" s="10" t="s">
        <v>10</v>
      </c>
      <c r="G25" s="10">
        <v>4876</v>
      </c>
    </row>
    <row r="26" spans="1:7">
      <c r="A26" s="10" t="s">
        <v>8</v>
      </c>
      <c r="B26" s="10">
        <v>11</v>
      </c>
      <c r="C26" s="10" t="s">
        <v>87</v>
      </c>
      <c r="D26" s="10" t="s">
        <v>82</v>
      </c>
      <c r="E26" s="10"/>
      <c r="F26" s="10" t="s">
        <v>9</v>
      </c>
      <c r="G26" s="10">
        <v>-90354</v>
      </c>
    </row>
    <row r="27" spans="1:7">
      <c r="A27" s="10" t="s">
        <v>8</v>
      </c>
      <c r="B27" s="10">
        <v>11</v>
      </c>
      <c r="C27" s="10" t="s">
        <v>87</v>
      </c>
      <c r="D27" s="10" t="s">
        <v>82</v>
      </c>
      <c r="E27" s="10"/>
      <c r="F27" s="10" t="s">
        <v>10</v>
      </c>
      <c r="G27" s="10">
        <v>14735</v>
      </c>
    </row>
    <row r="28" spans="1:7">
      <c r="A28" s="10" t="s">
        <v>8</v>
      </c>
      <c r="B28" s="10">
        <v>11</v>
      </c>
      <c r="C28" s="10" t="s">
        <v>88</v>
      </c>
      <c r="D28" s="10" t="s">
        <v>82</v>
      </c>
      <c r="E28" s="10"/>
      <c r="F28" s="10" t="s">
        <v>9</v>
      </c>
      <c r="G28" s="10">
        <v>-11389</v>
      </c>
    </row>
    <row r="29" spans="1:7">
      <c r="A29" s="10" t="s">
        <v>8</v>
      </c>
      <c r="B29" s="10">
        <v>11</v>
      </c>
      <c r="C29" s="10" t="s">
        <v>88</v>
      </c>
      <c r="D29" s="10" t="s">
        <v>82</v>
      </c>
      <c r="E29" s="10"/>
      <c r="F29" s="10" t="s">
        <v>10</v>
      </c>
      <c r="G29" s="10">
        <v>-23514</v>
      </c>
    </row>
    <row r="30" spans="1:7">
      <c r="A30" s="10" t="s">
        <v>8</v>
      </c>
      <c r="B30" s="10">
        <v>11</v>
      </c>
      <c r="C30" s="10" t="s">
        <v>89</v>
      </c>
      <c r="D30" s="10" t="s">
        <v>82</v>
      </c>
      <c r="E30" s="10"/>
      <c r="F30" s="10" t="s">
        <v>9</v>
      </c>
      <c r="G30" s="10">
        <v>-4786</v>
      </c>
    </row>
    <row r="31" spans="1:7">
      <c r="A31" s="10" t="s">
        <v>8</v>
      </c>
      <c r="B31" s="10">
        <v>11</v>
      </c>
      <c r="C31" s="10" t="s">
        <v>89</v>
      </c>
      <c r="D31" s="10" t="s">
        <v>82</v>
      </c>
      <c r="E31" s="10"/>
      <c r="F31" s="10" t="s">
        <v>10</v>
      </c>
      <c r="G31" s="10">
        <v>60796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4666-7810-664E-84AE-65BBA9ADC4E6}">
  <sheetPr codeName="Sheet6"/>
  <dimension ref="A1:G17"/>
  <sheetViews>
    <sheetView zoomScale="137" workbookViewId="0">
      <selection activeCell="G13" sqref="G13"/>
    </sheetView>
  </sheetViews>
  <sheetFormatPr baseColWidth="10" defaultRowHeight="15"/>
  <cols>
    <col min="1" max="1" width="8.83203125" bestFit="1" customWidth="1"/>
    <col min="2" max="2" width="8.5" bestFit="1" customWidth="1"/>
    <col min="3" max="3" width="10.1640625" bestFit="1" customWidth="1"/>
    <col min="4" max="4" width="5.5" bestFit="1" customWidth="1"/>
    <col min="5" max="5" width="8.83203125" bestFit="1" customWidth="1"/>
    <col min="6" max="6" width="9.1640625" bestFit="1" customWidth="1"/>
    <col min="7" max="7" width="30" bestFit="1" customWidth="1"/>
  </cols>
  <sheetData>
    <row r="1" spans="1:7" ht="16">
      <c r="A1" s="2" t="s">
        <v>55</v>
      </c>
      <c r="B1" s="2" t="s">
        <v>60</v>
      </c>
      <c r="C1" s="1" t="s">
        <v>99</v>
      </c>
      <c r="D1" s="1" t="s">
        <v>58</v>
      </c>
      <c r="E1" s="1" t="s">
        <v>100</v>
      </c>
      <c r="F1" s="2" t="s">
        <v>0</v>
      </c>
      <c r="G1" s="2" t="s">
        <v>61</v>
      </c>
    </row>
    <row r="2" spans="1:7">
      <c r="A2" t="s">
        <v>1</v>
      </c>
      <c r="B2">
        <v>2</v>
      </c>
      <c r="C2" t="s">
        <v>91</v>
      </c>
      <c r="D2">
        <v>0</v>
      </c>
      <c r="E2" t="s">
        <v>92</v>
      </c>
      <c r="G2">
        <v>10000</v>
      </c>
    </row>
    <row r="3" spans="1:7">
      <c r="A3" t="s">
        <v>1</v>
      </c>
      <c r="B3">
        <v>2</v>
      </c>
      <c r="C3" t="s">
        <v>93</v>
      </c>
      <c r="D3">
        <v>1</v>
      </c>
      <c r="E3" t="s">
        <v>94</v>
      </c>
      <c r="G3">
        <v>5000</v>
      </c>
    </row>
    <row r="4" spans="1:7">
      <c r="A4" t="s">
        <v>1</v>
      </c>
      <c r="B4">
        <v>2</v>
      </c>
      <c r="C4" t="s">
        <v>95</v>
      </c>
      <c r="D4">
        <v>0</v>
      </c>
      <c r="E4" t="s">
        <v>96</v>
      </c>
      <c r="G4">
        <v>25000</v>
      </c>
    </row>
    <row r="5" spans="1:7">
      <c r="A5" t="s">
        <v>1</v>
      </c>
      <c r="B5">
        <v>2</v>
      </c>
      <c r="C5" t="s">
        <v>97</v>
      </c>
      <c r="D5">
        <v>30</v>
      </c>
      <c r="E5" t="s">
        <v>98</v>
      </c>
      <c r="G5">
        <v>20000</v>
      </c>
    </row>
    <row r="6" spans="1:7">
      <c r="A6" t="s">
        <v>5</v>
      </c>
      <c r="B6">
        <v>2</v>
      </c>
      <c r="C6" t="s">
        <v>91</v>
      </c>
      <c r="D6">
        <v>0.5</v>
      </c>
      <c r="E6" t="s">
        <v>92</v>
      </c>
      <c r="G6">
        <v>-58572</v>
      </c>
    </row>
    <row r="7" spans="1:7">
      <c r="A7" t="s">
        <v>5</v>
      </c>
      <c r="B7">
        <v>2</v>
      </c>
      <c r="C7" t="s">
        <v>93</v>
      </c>
      <c r="D7">
        <v>0.5</v>
      </c>
      <c r="E7" t="s">
        <v>94</v>
      </c>
      <c r="G7">
        <v>84596</v>
      </c>
    </row>
    <row r="8" spans="1:7">
      <c r="A8" t="s">
        <v>5</v>
      </c>
      <c r="B8">
        <v>2</v>
      </c>
      <c r="C8" t="s">
        <v>95</v>
      </c>
      <c r="D8">
        <v>3</v>
      </c>
      <c r="E8" t="s">
        <v>96</v>
      </c>
      <c r="G8">
        <v>-71092</v>
      </c>
    </row>
    <row r="9" spans="1:7">
      <c r="A9" t="s">
        <v>5</v>
      </c>
      <c r="B9">
        <v>2</v>
      </c>
      <c r="C9" t="s">
        <v>97</v>
      </c>
      <c r="D9">
        <v>10</v>
      </c>
      <c r="E9" t="s">
        <v>98</v>
      </c>
      <c r="G9">
        <v>88253</v>
      </c>
    </row>
    <row r="10" spans="1:7">
      <c r="A10" t="s">
        <v>8</v>
      </c>
      <c r="B10">
        <v>2</v>
      </c>
      <c r="C10" t="s">
        <v>91</v>
      </c>
      <c r="E10" t="s">
        <v>92</v>
      </c>
      <c r="F10" t="s">
        <v>9</v>
      </c>
      <c r="G10">
        <v>17038</v>
      </c>
    </row>
    <row r="11" spans="1:7">
      <c r="A11" t="s">
        <v>8</v>
      </c>
      <c r="B11">
        <v>2</v>
      </c>
      <c r="C11" t="s">
        <v>93</v>
      </c>
      <c r="E11" t="s">
        <v>94</v>
      </c>
      <c r="F11" t="s">
        <v>9</v>
      </c>
      <c r="G11">
        <v>32244</v>
      </c>
    </row>
    <row r="12" spans="1:7">
      <c r="A12" t="s">
        <v>8</v>
      </c>
      <c r="B12">
        <v>2</v>
      </c>
      <c r="C12" t="s">
        <v>95</v>
      </c>
      <c r="E12" t="s">
        <v>96</v>
      </c>
      <c r="F12" t="s">
        <v>9</v>
      </c>
      <c r="G12">
        <v>-5146</v>
      </c>
    </row>
    <row r="13" spans="1:7">
      <c r="A13" t="s">
        <v>8</v>
      </c>
      <c r="B13">
        <v>2</v>
      </c>
      <c r="C13" t="s">
        <v>97</v>
      </c>
      <c r="E13" t="s">
        <v>98</v>
      </c>
      <c r="F13" t="s">
        <v>9</v>
      </c>
      <c r="G13">
        <v>-17882</v>
      </c>
    </row>
    <row r="14" spans="1:7">
      <c r="A14" t="s">
        <v>8</v>
      </c>
      <c r="B14">
        <v>2</v>
      </c>
      <c r="C14" t="s">
        <v>91</v>
      </c>
      <c r="E14" t="s">
        <v>92</v>
      </c>
      <c r="F14" t="s">
        <v>10</v>
      </c>
      <c r="G14">
        <v>-46689</v>
      </c>
    </row>
    <row r="15" spans="1:7">
      <c r="A15" t="s">
        <v>8</v>
      </c>
      <c r="B15">
        <v>2</v>
      </c>
      <c r="C15" t="s">
        <v>93</v>
      </c>
      <c r="E15" t="s">
        <v>94</v>
      </c>
      <c r="F15" t="s">
        <v>10</v>
      </c>
      <c r="G15">
        <v>83221</v>
      </c>
    </row>
    <row r="16" spans="1:7">
      <c r="A16" t="s">
        <v>8</v>
      </c>
      <c r="B16">
        <v>2</v>
      </c>
      <c r="C16" t="s">
        <v>95</v>
      </c>
      <c r="E16" t="s">
        <v>96</v>
      </c>
      <c r="F16" t="s">
        <v>10</v>
      </c>
      <c r="G16">
        <v>-98780</v>
      </c>
    </row>
    <row r="17" spans="1:7">
      <c r="A17" t="s">
        <v>8</v>
      </c>
      <c r="B17">
        <v>2</v>
      </c>
      <c r="C17" t="s">
        <v>97</v>
      </c>
      <c r="E17" t="s">
        <v>98</v>
      </c>
      <c r="F17" t="s">
        <v>10</v>
      </c>
      <c r="G17">
        <v>78636</v>
      </c>
    </row>
  </sheetData>
  <dataValidations count="3">
    <dataValidation type="whole" allowBlank="1" showInputMessage="1" showErrorMessage="1" sqref="B2:B17" xr:uid="{8B2EE421-0A8C-1545-A3A8-3E9DAF53D32D}">
      <formula1>1</formula1>
      <formula2>11</formula2>
    </dataValidation>
    <dataValidation type="list" allowBlank="1" showInputMessage="1" showErrorMessage="1" sqref="F2:F17" xr:uid="{83B0A110-0F25-6643-B46B-C210981C969E}">
      <formula1>"CVR+,CVR-"</formula1>
    </dataValidation>
    <dataValidation type="list" allowBlank="1" showInputMessage="1" showErrorMessage="1" sqref="A2:A17" xr:uid="{A089DB87-49E7-0140-AE57-E77676CD07CB}">
      <formula1>"Delta, Vega, CVR"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D666-6332-7749-AC7A-259C157767DD}">
  <sheetPr codeName="Sheet1"/>
  <dimension ref="A1:E12"/>
  <sheetViews>
    <sheetView workbookViewId="0">
      <selection activeCell="D22" sqref="D22"/>
    </sheetView>
  </sheetViews>
  <sheetFormatPr baseColWidth="10" defaultRowHeight="15"/>
  <cols>
    <col min="5" max="5" width="30" bestFit="1" customWidth="1"/>
  </cols>
  <sheetData>
    <row r="1" spans="1:5" ht="16">
      <c r="A1" s="1" t="s">
        <v>55</v>
      </c>
      <c r="B1" s="1" t="s">
        <v>60</v>
      </c>
      <c r="C1" s="1" t="s">
        <v>58</v>
      </c>
      <c r="D1" s="1" t="s">
        <v>0</v>
      </c>
      <c r="E1" s="2" t="s">
        <v>61</v>
      </c>
    </row>
    <row r="2" spans="1:5">
      <c r="A2" t="s">
        <v>1</v>
      </c>
      <c r="B2" t="s">
        <v>66</v>
      </c>
      <c r="E2" s="6">
        <v>700</v>
      </c>
    </row>
    <row r="3" spans="1:5">
      <c r="A3" t="s">
        <v>5</v>
      </c>
      <c r="B3" t="s">
        <v>73</v>
      </c>
      <c r="C3">
        <v>0.5</v>
      </c>
      <c r="E3" s="6">
        <v>-175099.21614373301</v>
      </c>
    </row>
    <row r="4" spans="1:5">
      <c r="A4" t="s">
        <v>5</v>
      </c>
      <c r="B4" t="s">
        <v>74</v>
      </c>
      <c r="C4">
        <v>1</v>
      </c>
      <c r="E4" s="6">
        <v>136212.76652022899</v>
      </c>
    </row>
    <row r="5" spans="1:5">
      <c r="A5" t="s">
        <v>5</v>
      </c>
      <c r="B5" t="s">
        <v>74</v>
      </c>
      <c r="C5">
        <v>3</v>
      </c>
      <c r="E5" s="6">
        <v>3000</v>
      </c>
    </row>
    <row r="6" spans="1:5">
      <c r="A6" t="s">
        <v>8</v>
      </c>
      <c r="B6" t="s">
        <v>75</v>
      </c>
      <c r="D6" t="s">
        <v>9</v>
      </c>
      <c r="E6" s="6">
        <v>-4000</v>
      </c>
    </row>
    <row r="7" spans="1:5">
      <c r="A7" t="s">
        <v>8</v>
      </c>
      <c r="B7" t="s">
        <v>75</v>
      </c>
      <c r="D7" t="s">
        <v>10</v>
      </c>
      <c r="E7" s="6">
        <v>5000</v>
      </c>
    </row>
    <row r="8" spans="1:5">
      <c r="A8" t="s">
        <v>8</v>
      </c>
      <c r="B8" t="s">
        <v>11</v>
      </c>
      <c r="D8" t="s">
        <v>9</v>
      </c>
      <c r="E8" s="6">
        <v>-6000</v>
      </c>
    </row>
    <row r="9" spans="1:5">
      <c r="A9" t="s">
        <v>8</v>
      </c>
      <c r="B9" t="s">
        <v>11</v>
      </c>
      <c r="D9" t="s">
        <v>10</v>
      </c>
      <c r="E9" s="6">
        <v>7000</v>
      </c>
    </row>
    <row r="10" spans="1:5">
      <c r="A10" t="s">
        <v>1</v>
      </c>
      <c r="B10" t="s">
        <v>11</v>
      </c>
      <c r="E10" s="6">
        <v>500</v>
      </c>
    </row>
    <row r="11" spans="1:5">
      <c r="A11" t="s">
        <v>1</v>
      </c>
      <c r="B11" t="s">
        <v>76</v>
      </c>
      <c r="E11" s="6">
        <v>600</v>
      </c>
    </row>
    <row r="12" spans="1:5">
      <c r="A12" t="s">
        <v>1</v>
      </c>
      <c r="B12" t="s">
        <v>77</v>
      </c>
      <c r="E12" s="6">
        <v>-800</v>
      </c>
    </row>
  </sheetData>
  <dataValidations count="3">
    <dataValidation type="list" allowBlank="1" showInputMessage="1" showErrorMessage="1" sqref="C2:C12" xr:uid="{E531CAAF-A95E-B645-838B-D3E3C8E87F26}">
      <formula1>"0.5,1,3,5,10"</formula1>
    </dataValidation>
    <dataValidation type="list" allowBlank="1" showInputMessage="1" showErrorMessage="1" sqref="D2:D12" xr:uid="{46F227FE-6029-C848-9A6B-5D5FFE3D0DEA}">
      <formula1>"CVR+,CVR-"</formula1>
    </dataValidation>
    <dataValidation type="list" allowBlank="1" showInputMessage="1" showErrorMessage="1" sqref="A2:A12" xr:uid="{44DFF8ED-6C9E-DC4E-AF82-8264AC38B0F7}">
      <formula1>"Delta, Vega, CVR"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GIRR</vt:lpstr>
      <vt:lpstr>DRC</vt:lpstr>
      <vt:lpstr>CSR(non)</vt:lpstr>
      <vt:lpstr>CSR(non-ctp)</vt:lpstr>
      <vt:lpstr>Equity</vt:lpstr>
      <vt:lpstr>Commodity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Munich Lam</cp:lastModifiedBy>
  <dcterms:created xsi:type="dcterms:W3CDTF">2025-10-07T21:36:27Z</dcterms:created>
  <dcterms:modified xsi:type="dcterms:W3CDTF">2025-11-02T00:04:13Z</dcterms:modified>
</cp:coreProperties>
</file>